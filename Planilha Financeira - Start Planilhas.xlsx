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drawings/drawing4.xml" ContentType="application/vnd.openxmlformats-officedocument.drawing+xml"/>
  <Override PartName="/xl/ctrlProps/ctrlProp2.xml" ContentType="application/vnd.ms-excel.controlproperties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c82380ff01b2dc/Área de Trabalho/"/>
    </mc:Choice>
  </mc:AlternateContent>
  <xr:revisionPtr revIDLastSave="73" documentId="13_ncr:1_{3DFD1E64-50FE-430C-81BD-0E41E0298C50}" xr6:coauthVersionLast="47" xr6:coauthVersionMax="47" xr10:uidLastSave="{39133BCD-192B-4157-8944-A3BFCA7C45E5}"/>
  <bookViews>
    <workbookView xWindow="-120" yWindow="-120" windowWidth="24240" windowHeight="13140" xr2:uid="{87D7E00A-9061-42BE-8B61-16EC35FE67A7}"/>
  </bookViews>
  <sheets>
    <sheet name="Base" sheetId="1" r:id="rId1"/>
    <sheet name="DashBoard" sheetId="3" r:id="rId2"/>
    <sheet name="Tabela Dinâmica" sheetId="6" r:id="rId3"/>
    <sheet name="Resultado Diário" sheetId="8" r:id="rId4"/>
    <sheet name="Auxiliar" sheetId="2" r:id="rId5"/>
  </sheets>
  <definedNames>
    <definedName name="_xlnm.Print_Area" localSheetId="0">Base!$B$2:$H$27</definedName>
    <definedName name="Descricao">Tabela4[Descrição (opcional)]</definedName>
    <definedName name="Entrada">tb_entradas[Entradas]</definedName>
    <definedName name="NativeTimeline_Data">#N/A</definedName>
    <definedName name="Saída">tb_saidas[Saídas]</definedName>
    <definedName name="Saldo_Inicial">Auxiliar!$AI$4</definedName>
    <definedName name="SegmentaçãodeDados_Categoria">#N/A</definedName>
    <definedName name="SegmentaçãodeDados_Tip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2" l="1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A2" i="8"/>
  <c r="E10" i="8" s="1"/>
  <c r="I25" i="8"/>
  <c r="K1" i="1" l="1"/>
  <c r="G67" i="1"/>
  <c r="G69" i="1"/>
  <c r="G72" i="1"/>
  <c r="G75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3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5" i="1"/>
  <c r="G17" i="1"/>
  <c r="G18" i="1"/>
  <c r="G6" i="1"/>
  <c r="G7" i="1"/>
  <c r="G8" i="1"/>
  <c r="G10" i="1"/>
  <c r="G12" i="1"/>
  <c r="G13" i="1"/>
  <c r="G19" i="1"/>
  <c r="G21" i="1"/>
  <c r="G23" i="1"/>
  <c r="G25" i="1"/>
  <c r="G26" i="1"/>
  <c r="G28" i="1"/>
  <c r="G29" i="1"/>
  <c r="G31" i="1"/>
  <c r="G32" i="1"/>
  <c r="G35" i="1"/>
  <c r="G36" i="1"/>
  <c r="G37" i="1"/>
  <c r="G38" i="1"/>
  <c r="G41" i="1"/>
  <c r="G42" i="1"/>
  <c r="G44" i="1"/>
  <c r="G46" i="1"/>
  <c r="G48" i="1"/>
  <c r="G50" i="1"/>
  <c r="G51" i="1"/>
  <c r="G53" i="1"/>
  <c r="G54" i="1"/>
  <c r="G55" i="1"/>
  <c r="G57" i="1"/>
  <c r="G58" i="1"/>
  <c r="G60" i="1"/>
  <c r="G61" i="1"/>
  <c r="G63" i="1"/>
  <c r="G64" i="1"/>
  <c r="G66" i="1"/>
  <c r="G68" i="1"/>
  <c r="G70" i="1"/>
  <c r="G71" i="1"/>
  <c r="G73" i="1"/>
  <c r="G74" i="1"/>
  <c r="G76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4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H67" i="1"/>
  <c r="H69" i="1"/>
  <c r="H72" i="1"/>
  <c r="H75" i="1"/>
  <c r="H78" i="1"/>
  <c r="H80" i="1"/>
  <c r="H82" i="1"/>
  <c r="H84" i="1"/>
  <c r="H86" i="1"/>
  <c r="H88" i="1"/>
  <c r="H90" i="1"/>
  <c r="H92" i="1"/>
  <c r="H94" i="1"/>
  <c r="H96" i="1"/>
  <c r="H98" i="1"/>
  <c r="H100" i="1"/>
  <c r="H102" i="1"/>
  <c r="H103" i="1"/>
  <c r="H106" i="1"/>
  <c r="H108" i="1"/>
  <c r="H110" i="1"/>
  <c r="H112" i="1"/>
  <c r="H114" i="1"/>
  <c r="H116" i="1"/>
  <c r="H118" i="1"/>
  <c r="H120" i="1"/>
  <c r="H122" i="1"/>
  <c r="H124" i="1"/>
  <c r="H126" i="1"/>
  <c r="H128" i="1"/>
  <c r="H130" i="1"/>
  <c r="H132" i="1"/>
  <c r="H134" i="1"/>
  <c r="H136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5" i="1"/>
  <c r="H17" i="1"/>
  <c r="H18" i="1"/>
  <c r="H6" i="1"/>
  <c r="H7" i="1"/>
  <c r="H8" i="1"/>
  <c r="H10" i="1"/>
  <c r="H12" i="1"/>
  <c r="H13" i="1"/>
  <c r="H19" i="1"/>
  <c r="H21" i="1"/>
  <c r="H23" i="1"/>
  <c r="H25" i="1"/>
  <c r="H26" i="1"/>
  <c r="H28" i="1"/>
  <c r="H29" i="1"/>
  <c r="H31" i="1"/>
  <c r="H32" i="1"/>
  <c r="H35" i="1"/>
  <c r="H36" i="1"/>
  <c r="H37" i="1"/>
  <c r="H38" i="1"/>
  <c r="H41" i="1"/>
  <c r="H42" i="1"/>
  <c r="H44" i="1"/>
  <c r="H46" i="1"/>
  <c r="H48" i="1"/>
  <c r="H50" i="1"/>
  <c r="H51" i="1"/>
  <c r="H53" i="1"/>
  <c r="H54" i="1"/>
  <c r="H55" i="1"/>
  <c r="H57" i="1"/>
  <c r="H58" i="1"/>
  <c r="H60" i="1"/>
  <c r="H61" i="1"/>
  <c r="H63" i="1"/>
  <c r="H64" i="1"/>
  <c r="H66" i="1"/>
  <c r="H68" i="1"/>
  <c r="H70" i="1"/>
  <c r="H71" i="1"/>
  <c r="H73" i="1"/>
  <c r="H74" i="1"/>
  <c r="H76" i="1"/>
  <c r="H77" i="1"/>
  <c r="H79" i="1"/>
  <c r="H81" i="1"/>
  <c r="H83" i="1"/>
  <c r="H85" i="1"/>
  <c r="H87" i="1"/>
  <c r="H89" i="1"/>
  <c r="H91" i="1"/>
  <c r="H93" i="1"/>
  <c r="H95" i="1"/>
  <c r="H97" i="1"/>
  <c r="H99" i="1"/>
  <c r="H101" i="1"/>
  <c r="H104" i="1"/>
  <c r="H105" i="1"/>
  <c r="H107" i="1"/>
  <c r="H109" i="1"/>
  <c r="H111" i="1"/>
  <c r="H113" i="1"/>
  <c r="H115" i="1"/>
  <c r="H117" i="1"/>
  <c r="H119" i="1"/>
  <c r="H121" i="1"/>
  <c r="H123" i="1"/>
  <c r="H125" i="1"/>
  <c r="H127" i="1"/>
  <c r="H129" i="1"/>
  <c r="H131" i="1"/>
  <c r="H133" i="1"/>
  <c r="H135" i="1"/>
  <c r="H137" i="1"/>
  <c r="E9" i="8" l="1"/>
  <c r="D11" i="8"/>
  <c r="D14" i="8"/>
  <c r="D16" i="8"/>
  <c r="E17" i="8"/>
  <c r="D19" i="8"/>
  <c r="D22" i="8"/>
  <c r="D24" i="8"/>
  <c r="E25" i="8"/>
  <c r="D27" i="8"/>
  <c r="D30" i="8"/>
  <c r="D32" i="8"/>
  <c r="E33" i="8"/>
  <c r="D35" i="8"/>
  <c r="D13" i="8"/>
  <c r="E16" i="8"/>
  <c r="D21" i="8"/>
  <c r="E24" i="8"/>
  <c r="E27" i="8"/>
  <c r="E30" i="8"/>
  <c r="D10" i="8"/>
  <c r="D15" i="8"/>
  <c r="D18" i="8"/>
  <c r="E21" i="8"/>
  <c r="D28" i="8"/>
  <c r="D31" i="8"/>
  <c r="D34" i="8"/>
  <c r="D9" i="8"/>
  <c r="E12" i="8"/>
  <c r="E15" i="8"/>
  <c r="D17" i="8"/>
  <c r="E18" i="8"/>
  <c r="E20" i="8"/>
  <c r="E23" i="8"/>
  <c r="D25" i="8"/>
  <c r="E26" i="8"/>
  <c r="E28" i="8"/>
  <c r="E31" i="8"/>
  <c r="D33" i="8"/>
  <c r="E34" i="8"/>
  <c r="E11" i="8"/>
  <c r="E14" i="8"/>
  <c r="E19" i="8"/>
  <c r="E22" i="8"/>
  <c r="D29" i="8"/>
  <c r="E32" i="8"/>
  <c r="E35" i="8"/>
  <c r="D12" i="8"/>
  <c r="E13" i="8"/>
  <c r="D20" i="8"/>
  <c r="D23" i="8"/>
  <c r="D26" i="8"/>
  <c r="E29" i="8"/>
  <c r="C9" i="8"/>
  <c r="C13" i="8"/>
  <c r="C17" i="8"/>
  <c r="C21" i="8"/>
  <c r="C25" i="8"/>
  <c r="C29" i="8"/>
  <c r="C33" i="8"/>
  <c r="C19" i="8"/>
  <c r="C27" i="8"/>
  <c r="C35" i="8"/>
  <c r="C20" i="8"/>
  <c r="C32" i="8"/>
  <c r="C10" i="8"/>
  <c r="C14" i="8"/>
  <c r="C18" i="8"/>
  <c r="C22" i="8"/>
  <c r="C26" i="8"/>
  <c r="C30" i="8"/>
  <c r="C34" i="8"/>
  <c r="C15" i="8"/>
  <c r="C23" i="8"/>
  <c r="C8" i="8"/>
  <c r="C24" i="8"/>
  <c r="C11" i="8"/>
  <c r="C31" i="8"/>
  <c r="C16" i="8"/>
  <c r="C28" i="8"/>
  <c r="C12" i="8"/>
  <c r="B2" i="8"/>
  <c r="C2" i="8" s="1"/>
  <c r="D2" i="8" s="1"/>
  <c r="E8" i="8"/>
  <c r="D8" i="8"/>
  <c r="F26" i="8" l="1"/>
  <c r="F20" i="8"/>
  <c r="F12" i="8"/>
  <c r="F30" i="8"/>
  <c r="F28" i="8"/>
  <c r="F21" i="8"/>
  <c r="F23" i="8"/>
  <c r="F33" i="8"/>
  <c r="F25" i="8"/>
  <c r="F17" i="8"/>
  <c r="F9" i="8"/>
  <c r="F32" i="8"/>
  <c r="F24" i="8"/>
  <c r="F16" i="8"/>
  <c r="F10" i="8"/>
  <c r="F34" i="8"/>
  <c r="F18" i="8"/>
  <c r="F13" i="8"/>
  <c r="F22" i="8"/>
  <c r="F14" i="8"/>
  <c r="F29" i="8"/>
  <c r="F31" i="8"/>
  <c r="F15" i="8"/>
  <c r="F35" i="8"/>
  <c r="F27" i="8"/>
  <c r="F19" i="8"/>
  <c r="F11" i="8"/>
  <c r="B36" i="8"/>
  <c r="F8" i="8"/>
  <c r="G30" i="1"/>
  <c r="G33" i="1"/>
  <c r="G34" i="1"/>
  <c r="G39" i="1"/>
  <c r="G40" i="1"/>
  <c r="G43" i="1"/>
  <c r="G45" i="1"/>
  <c r="G47" i="1"/>
  <c r="G49" i="1"/>
  <c r="G52" i="1"/>
  <c r="G56" i="1"/>
  <c r="G59" i="1"/>
  <c r="G62" i="1"/>
  <c r="G65" i="1"/>
  <c r="H30" i="1"/>
  <c r="H33" i="1"/>
  <c r="H34" i="1"/>
  <c r="H39" i="1"/>
  <c r="H40" i="1"/>
  <c r="H43" i="1"/>
  <c r="H45" i="1"/>
  <c r="H47" i="1"/>
  <c r="H49" i="1"/>
  <c r="H52" i="1"/>
  <c r="H56" i="1"/>
  <c r="H59" i="1"/>
  <c r="H62" i="1"/>
  <c r="H65" i="1"/>
  <c r="C36" i="8" l="1"/>
  <c r="D36" i="8"/>
  <c r="E36" i="8"/>
  <c r="B37" i="8"/>
  <c r="G22" i="1"/>
  <c r="G24" i="1"/>
  <c r="G27" i="1"/>
  <c r="H22" i="1"/>
  <c r="H24" i="1"/>
  <c r="H27" i="1"/>
  <c r="AF3" i="2"/>
  <c r="AF2" i="2"/>
  <c r="AF7" i="2" s="1"/>
  <c r="P3" i="2"/>
  <c r="P2" i="2"/>
  <c r="P8" i="2" s="1"/>
  <c r="P9" i="2" l="1"/>
  <c r="P6" i="2"/>
  <c r="P5" i="2"/>
  <c r="P11" i="2"/>
  <c r="P12" i="2"/>
  <c r="C37" i="8"/>
  <c r="D37" i="8"/>
  <c r="E37" i="8"/>
  <c r="F36" i="8"/>
  <c r="B38" i="8"/>
  <c r="P10" i="2"/>
  <c r="P7" i="2"/>
  <c r="AF5" i="2"/>
  <c r="P13" i="2"/>
  <c r="AF6" i="2"/>
  <c r="C38" i="8" l="1"/>
  <c r="D38" i="8"/>
  <c r="E38" i="8"/>
  <c r="E40" i="8" s="1"/>
  <c r="F37" i="8"/>
  <c r="D18" i="3"/>
  <c r="P1" i="2"/>
  <c r="S25" i="3" s="1"/>
  <c r="S14" i="3"/>
  <c r="R14" i="3" s="1" a="1"/>
  <c r="R14" i="3" s="1"/>
  <c r="D16" i="3"/>
  <c r="S15" i="3"/>
  <c r="S19" i="3"/>
  <c r="S22" i="3"/>
  <c r="S23" i="3"/>
  <c r="S21" i="3"/>
  <c r="S20" i="3"/>
  <c r="D17" i="3"/>
  <c r="AF1" i="2"/>
  <c r="D20" i="3" s="1"/>
  <c r="D14" i="3"/>
  <c r="C14" i="3" s="1" a="1"/>
  <c r="C14" i="3" s="1"/>
  <c r="S18" i="3"/>
  <c r="D15" i="3"/>
  <c r="S16" i="3"/>
  <c r="S17" i="3"/>
  <c r="F38" i="8" l="1"/>
  <c r="D40" i="8"/>
  <c r="F40" i="8" s="1"/>
  <c r="D19" i="3"/>
  <c r="S24" i="3"/>
  <c r="R15" i="3" a="1"/>
  <c r="R15" i="3" s="1"/>
  <c r="R17" i="3" a="1"/>
  <c r="R17" i="3" s="1"/>
  <c r="R16" i="3" a="1"/>
  <c r="R16" i="3" s="1"/>
  <c r="C15" i="3" a="1"/>
  <c r="C15" i="3" s="1"/>
  <c r="R23" i="3" a="1"/>
  <c r="R23" i="3" s="1"/>
  <c r="C16" i="3" a="1"/>
  <c r="C16" i="3" s="1"/>
  <c r="R22" i="3" a="1"/>
  <c r="R22" i="3" s="1"/>
  <c r="R18" i="3" a="1"/>
  <c r="R18" i="3" s="1"/>
  <c r="R20" i="3" a="1"/>
  <c r="R20" i="3" s="1"/>
  <c r="R19" i="3" a="1"/>
  <c r="R19" i="3" s="1"/>
  <c r="C18" i="3" a="1"/>
  <c r="C18" i="3" s="1"/>
  <c r="R21" i="3" a="1"/>
  <c r="R21" i="3" s="1"/>
  <c r="C17" i="3" a="1"/>
  <c r="C17" i="3" s="1"/>
  <c r="H3" i="1" l="1"/>
  <c r="G3" i="1"/>
  <c r="I3" i="1" l="1"/>
  <c r="H16" i="1"/>
  <c r="H14" i="1"/>
  <c r="H11" i="1"/>
  <c r="H9" i="1"/>
  <c r="H20" i="1"/>
  <c r="G16" i="1"/>
  <c r="G14" i="1"/>
  <c r="G11" i="1"/>
  <c r="G9" i="1"/>
  <c r="G20" i="1"/>
  <c r="K16" i="8" l="1"/>
  <c r="K20" i="8"/>
  <c r="K12" i="8"/>
  <c r="J16" i="8"/>
  <c r="J20" i="8"/>
  <c r="J12" i="8"/>
  <c r="K23" i="8"/>
  <c r="J23" i="8"/>
  <c r="K13" i="8"/>
  <c r="K17" i="8"/>
  <c r="K21" i="8"/>
  <c r="J13" i="8"/>
  <c r="J17" i="8"/>
  <c r="J21" i="8"/>
  <c r="J15" i="8"/>
  <c r="K14" i="8"/>
  <c r="K18" i="8"/>
  <c r="K22" i="8"/>
  <c r="J14" i="8"/>
  <c r="J18" i="8"/>
  <c r="J22" i="8"/>
  <c r="K19" i="8"/>
  <c r="J19" i="8"/>
  <c r="K15" i="8"/>
  <c r="R3" i="2"/>
  <c r="B3" i="2"/>
  <c r="D14" i="2" s="1"/>
  <c r="N8" i="2" l="1"/>
  <c r="D8" i="2"/>
  <c r="M15" i="2"/>
  <c r="J15" i="2"/>
  <c r="I15" i="2"/>
  <c r="I8" i="2"/>
  <c r="E15" i="2"/>
  <c r="D15" i="2"/>
  <c r="F14" i="2"/>
  <c r="K15" i="2"/>
  <c r="G8" i="2"/>
  <c r="I14" i="2"/>
  <c r="M8" i="2"/>
  <c r="H8" i="2"/>
  <c r="H14" i="2"/>
  <c r="J14" i="2"/>
  <c r="G14" i="2"/>
  <c r="N15" i="2"/>
  <c r="G15" i="2"/>
  <c r="L15" i="2"/>
  <c r="K8" i="2"/>
  <c r="L8" i="2"/>
  <c r="F8" i="2"/>
  <c r="N14" i="2"/>
  <c r="K14" i="2"/>
  <c r="C16" i="2"/>
  <c r="C20" i="2"/>
  <c r="C24" i="2"/>
  <c r="C28" i="2"/>
  <c r="D19" i="2"/>
  <c r="D23" i="2"/>
  <c r="D27" i="2"/>
  <c r="E18" i="2"/>
  <c r="E22" i="2"/>
  <c r="E26" i="2"/>
  <c r="F17" i="2"/>
  <c r="F21" i="2"/>
  <c r="F25" i="2"/>
  <c r="G16" i="2"/>
  <c r="G20" i="2"/>
  <c r="G24" i="2"/>
  <c r="G28" i="2"/>
  <c r="H19" i="2"/>
  <c r="H23" i="2"/>
  <c r="H27" i="2"/>
  <c r="I18" i="2"/>
  <c r="I22" i="2"/>
  <c r="I26" i="2"/>
  <c r="J17" i="2"/>
  <c r="J21" i="2"/>
  <c r="J25" i="2"/>
  <c r="K16" i="2"/>
  <c r="K20" i="2"/>
  <c r="K24" i="2"/>
  <c r="K28" i="2"/>
  <c r="L19" i="2"/>
  <c r="L23" i="2"/>
  <c r="L27" i="2"/>
  <c r="M18" i="2"/>
  <c r="M22" i="2"/>
  <c r="M26" i="2"/>
  <c r="N17" i="2"/>
  <c r="N21" i="2"/>
  <c r="N25" i="2"/>
  <c r="E25" i="2"/>
  <c r="G19" i="2"/>
  <c r="H18" i="2"/>
  <c r="I17" i="2"/>
  <c r="J16" i="2"/>
  <c r="J28" i="2"/>
  <c r="K27" i="2"/>
  <c r="L26" i="2"/>
  <c r="M25" i="2"/>
  <c r="N24" i="2"/>
  <c r="C17" i="2"/>
  <c r="C21" i="2"/>
  <c r="C25" i="2"/>
  <c r="D16" i="2"/>
  <c r="D20" i="2"/>
  <c r="D24" i="2"/>
  <c r="D28" i="2"/>
  <c r="E19" i="2"/>
  <c r="E23" i="2"/>
  <c r="E27" i="2"/>
  <c r="F18" i="2"/>
  <c r="F22" i="2"/>
  <c r="F26" i="2"/>
  <c r="G17" i="2"/>
  <c r="G21" i="2"/>
  <c r="G25" i="2"/>
  <c r="H16" i="2"/>
  <c r="H20" i="2"/>
  <c r="H24" i="2"/>
  <c r="H28" i="2"/>
  <c r="I19" i="2"/>
  <c r="I23" i="2"/>
  <c r="I27" i="2"/>
  <c r="J18" i="2"/>
  <c r="J22" i="2"/>
  <c r="J26" i="2"/>
  <c r="K17" i="2"/>
  <c r="K21" i="2"/>
  <c r="K25" i="2"/>
  <c r="L16" i="2"/>
  <c r="L20" i="2"/>
  <c r="L24" i="2"/>
  <c r="L28" i="2"/>
  <c r="M19" i="2"/>
  <c r="M23" i="2"/>
  <c r="M27" i="2"/>
  <c r="N18" i="2"/>
  <c r="N22" i="2"/>
  <c r="N26" i="2"/>
  <c r="C27" i="2"/>
  <c r="D22" i="2"/>
  <c r="E17" i="2"/>
  <c r="F16" i="2"/>
  <c r="F24" i="2"/>
  <c r="G23" i="2"/>
  <c r="H26" i="2"/>
  <c r="I25" i="2"/>
  <c r="J24" i="2"/>
  <c r="K23" i="2"/>
  <c r="L22" i="2"/>
  <c r="M21" i="2"/>
  <c r="N20" i="2"/>
  <c r="C18" i="2"/>
  <c r="C22" i="2"/>
  <c r="C26" i="2"/>
  <c r="D17" i="2"/>
  <c r="D21" i="2"/>
  <c r="D25" i="2"/>
  <c r="E16" i="2"/>
  <c r="E20" i="2"/>
  <c r="E24" i="2"/>
  <c r="E28" i="2"/>
  <c r="F19" i="2"/>
  <c r="F23" i="2"/>
  <c r="F27" i="2"/>
  <c r="G18" i="2"/>
  <c r="G22" i="2"/>
  <c r="G26" i="2"/>
  <c r="H17" i="2"/>
  <c r="H21" i="2"/>
  <c r="H25" i="2"/>
  <c r="I16" i="2"/>
  <c r="I20" i="2"/>
  <c r="I24" i="2"/>
  <c r="I28" i="2"/>
  <c r="J19" i="2"/>
  <c r="J23" i="2"/>
  <c r="J27" i="2"/>
  <c r="K18" i="2"/>
  <c r="K22" i="2"/>
  <c r="K26" i="2"/>
  <c r="L17" i="2"/>
  <c r="L21" i="2"/>
  <c r="L25" i="2"/>
  <c r="M16" i="2"/>
  <c r="M20" i="2"/>
  <c r="M24" i="2"/>
  <c r="M28" i="2"/>
  <c r="N19" i="2"/>
  <c r="N23" i="2"/>
  <c r="N27" i="2"/>
  <c r="C19" i="2"/>
  <c r="C23" i="2"/>
  <c r="D18" i="2"/>
  <c r="D26" i="2"/>
  <c r="E21" i="2"/>
  <c r="F20" i="2"/>
  <c r="F28" i="2"/>
  <c r="G27" i="2"/>
  <c r="H22" i="2"/>
  <c r="I21" i="2"/>
  <c r="J20" i="2"/>
  <c r="K19" i="2"/>
  <c r="L18" i="2"/>
  <c r="M17" i="2"/>
  <c r="N16" i="2"/>
  <c r="N28" i="2"/>
  <c r="F15" i="2"/>
  <c r="C15" i="2"/>
  <c r="H15" i="2"/>
  <c r="C8" i="2"/>
  <c r="J8" i="2"/>
  <c r="E8" i="2"/>
  <c r="M14" i="2"/>
  <c r="E14" i="2"/>
  <c r="L14" i="2"/>
  <c r="C14" i="2"/>
  <c r="L18" i="8"/>
  <c r="L17" i="8"/>
  <c r="L13" i="8"/>
  <c r="C6" i="2"/>
  <c r="F12" i="2"/>
  <c r="I11" i="2"/>
  <c r="L5" i="2"/>
  <c r="M12" i="2"/>
  <c r="J12" i="2"/>
  <c r="M5" i="2"/>
  <c r="M9" i="2"/>
  <c r="N6" i="2"/>
  <c r="H6" i="2"/>
  <c r="E12" i="2"/>
  <c r="E11" i="2"/>
  <c r="L6" i="2"/>
  <c r="F6" i="2"/>
  <c r="C12" i="2"/>
  <c r="F11" i="2"/>
  <c r="I5" i="2"/>
  <c r="L9" i="2"/>
  <c r="F9" i="2"/>
  <c r="G6" i="2"/>
  <c r="D6" i="2"/>
  <c r="J11" i="2"/>
  <c r="J9" i="2"/>
  <c r="N12" i="2"/>
  <c r="H12" i="2"/>
  <c r="K5" i="2"/>
  <c r="I6" i="2"/>
  <c r="C11" i="2"/>
  <c r="F5" i="2"/>
  <c r="I9" i="2"/>
  <c r="M6" i="2"/>
  <c r="J6" i="2"/>
  <c r="M11" i="2"/>
  <c r="G12" i="2"/>
  <c r="J5" i="2"/>
  <c r="G5" i="2"/>
  <c r="K6" i="2"/>
  <c r="N11" i="2"/>
  <c r="K11" i="2"/>
  <c r="N5" i="2"/>
  <c r="N9" i="2"/>
  <c r="H9" i="2"/>
  <c r="L12" i="2"/>
  <c r="C5" i="2"/>
  <c r="G11" i="2"/>
  <c r="G9" i="2"/>
  <c r="E6" i="2"/>
  <c r="H5" i="2"/>
  <c r="C9" i="2"/>
  <c r="D9" i="2"/>
  <c r="H11" i="2"/>
  <c r="E5" i="2"/>
  <c r="D12" i="2"/>
  <c r="K12" i="2"/>
  <c r="K9" i="2"/>
  <c r="I12" i="2"/>
  <c r="D11" i="2"/>
  <c r="E9" i="2"/>
  <c r="D5" i="2"/>
  <c r="L11" i="2"/>
  <c r="L20" i="8"/>
  <c r="L16" i="8"/>
  <c r="L21" i="8"/>
  <c r="L14" i="8"/>
  <c r="L22" i="8"/>
  <c r="L23" i="8"/>
  <c r="L19" i="8"/>
  <c r="L15" i="8"/>
  <c r="K25" i="8"/>
  <c r="J25" i="8"/>
  <c r="L12" i="8"/>
  <c r="S11" i="3"/>
  <c r="X6" i="2"/>
  <c r="AC6" i="2"/>
  <c r="AD6" i="2"/>
  <c r="U6" i="2"/>
  <c r="Z6" i="2"/>
  <c r="Z7" i="2"/>
  <c r="V6" i="2"/>
  <c r="AB6" i="2"/>
  <c r="AA7" i="2"/>
  <c r="W7" i="2"/>
  <c r="S6" i="2"/>
  <c r="AA6" i="2"/>
  <c r="AB7" i="2"/>
  <c r="S7" i="2"/>
  <c r="Y6" i="2"/>
  <c r="AC7" i="2"/>
  <c r="W6" i="2"/>
  <c r="X7" i="2"/>
  <c r="T7" i="2"/>
  <c r="AD7" i="2"/>
  <c r="Y7" i="2"/>
  <c r="T6" i="2"/>
  <c r="V7" i="2"/>
  <c r="U7" i="2"/>
  <c r="H10" i="2"/>
  <c r="M10" i="2"/>
  <c r="L10" i="2"/>
  <c r="D10" i="2"/>
  <c r="I10" i="2"/>
  <c r="N10" i="2"/>
  <c r="E10" i="2"/>
  <c r="J10" i="2"/>
  <c r="J13" i="2"/>
  <c r="F10" i="2"/>
  <c r="C13" i="2"/>
  <c r="K13" i="2"/>
  <c r="N13" i="2"/>
  <c r="E13" i="2"/>
  <c r="L13" i="2"/>
  <c r="G13" i="2"/>
  <c r="I13" i="2"/>
  <c r="D13" i="2"/>
  <c r="F13" i="2"/>
  <c r="K10" i="2"/>
  <c r="C10" i="2"/>
  <c r="M13" i="2"/>
  <c r="G10" i="2"/>
  <c r="H13" i="2"/>
  <c r="E7" i="2"/>
  <c r="J7" i="2"/>
  <c r="K7" i="2"/>
  <c r="I7" i="2"/>
  <c r="N7" i="2"/>
  <c r="D7" i="2"/>
  <c r="M7" i="2"/>
  <c r="G7" i="2"/>
  <c r="L7" i="2"/>
  <c r="F7" i="2"/>
  <c r="H7" i="2"/>
  <c r="C7" i="2"/>
  <c r="T5" i="2"/>
  <c r="Y5" i="2"/>
  <c r="AD5" i="2"/>
  <c r="X5" i="2"/>
  <c r="AC5" i="2"/>
  <c r="W5" i="2"/>
  <c r="AB5" i="2"/>
  <c r="V5" i="2"/>
  <c r="AA5" i="2"/>
  <c r="U5" i="2"/>
  <c r="Z5" i="2"/>
  <c r="S5" i="2"/>
  <c r="O14" i="2" l="1"/>
  <c r="O8" i="2"/>
  <c r="O15" i="2"/>
  <c r="O23" i="2"/>
  <c r="O22" i="2"/>
  <c r="O21" i="2"/>
  <c r="O24" i="2"/>
  <c r="O18" i="2"/>
  <c r="O17" i="2"/>
  <c r="O20" i="2"/>
  <c r="O19" i="2"/>
  <c r="O27" i="2"/>
  <c r="O16" i="2"/>
  <c r="O26" i="2"/>
  <c r="O25" i="2"/>
  <c r="O28" i="2"/>
  <c r="O6" i="2"/>
  <c r="O11" i="2"/>
  <c r="O12" i="2"/>
  <c r="O5" i="2"/>
  <c r="O9" i="2"/>
  <c r="L25" i="8"/>
  <c r="AE5" i="2"/>
  <c r="O7" i="2"/>
  <c r="O10" i="2"/>
  <c r="AE6" i="2"/>
  <c r="AE7" i="2"/>
  <c r="O13" i="2"/>
  <c r="Z1" i="2"/>
  <c r="K1" i="2"/>
  <c r="W1" i="2"/>
  <c r="X1" i="2"/>
  <c r="G1" i="2"/>
  <c r="S1" i="2"/>
  <c r="V1" i="2"/>
  <c r="C1" i="2"/>
  <c r="I1" i="2"/>
  <c r="H1" i="2"/>
  <c r="AB1" i="2"/>
  <c r="M1" i="2"/>
  <c r="U1" i="2"/>
  <c r="Y1" i="2"/>
  <c r="F1" i="2"/>
  <c r="D1" i="2"/>
  <c r="J1" i="2"/>
  <c r="AD1" i="2"/>
  <c r="AA1" i="2"/>
  <c r="AC1" i="2"/>
  <c r="T1" i="2"/>
  <c r="L1" i="2"/>
  <c r="N1" i="2"/>
  <c r="E1" i="2"/>
  <c r="O1" i="2" l="1"/>
  <c r="D6" i="3" s="1"/>
  <c r="AE1" i="2"/>
  <c r="D5" i="3" s="1"/>
  <c r="D7" i="3" l="1"/>
</calcChain>
</file>

<file path=xl/sharedStrings.xml><?xml version="1.0" encoding="utf-8"?>
<sst xmlns="http://schemas.openxmlformats.org/spreadsheetml/2006/main" count="216" uniqueCount="88">
  <si>
    <t>Data</t>
  </si>
  <si>
    <t>Tipo</t>
  </si>
  <si>
    <t>Descrição</t>
  </si>
  <si>
    <t>Valor</t>
  </si>
  <si>
    <t>Mês</t>
  </si>
  <si>
    <t>Ano</t>
  </si>
  <si>
    <t>Saídas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</si>
  <si>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</si>
  <si>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</si>
  <si>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</si>
  <si>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</si>
  <si>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</si>
  <si>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</si>
  <si>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</si>
  <si>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</si>
  <si>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</si>
  <si>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</si>
  <si>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</si>
  <si>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</si>
  <si>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</si>
  <si>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Entradas</t>
  </si>
  <si>
    <t>Lucro</t>
  </si>
  <si>
    <t>Total Geral</t>
  </si>
  <si>
    <t>Soma de Valor</t>
  </si>
  <si>
    <t>Centros de Custo</t>
  </si>
  <si>
    <t>Análise de Período Específico</t>
  </si>
  <si>
    <t>Análise Anual</t>
  </si>
  <si>
    <t>(vazio)</t>
  </si>
  <si>
    <t>Categoria</t>
  </si>
  <si>
    <t>Total Per</t>
  </si>
  <si>
    <t>Demais</t>
  </si>
  <si>
    <t>Top Entradas</t>
  </si>
  <si>
    <t>Top Saídas</t>
  </si>
  <si>
    <t>Data Inicial</t>
  </si>
  <si>
    <t>Data Final</t>
  </si>
  <si>
    <t>Dia</t>
  </si>
  <si>
    <t>JANEIRO</t>
  </si>
  <si>
    <t>FEVEREIRO</t>
  </si>
  <si>
    <t>MARÇO</t>
  </si>
  <si>
    <t>ABRIL</t>
  </si>
  <si>
    <t>MAIO</t>
  </si>
  <si>
    <t>JUNHO</t>
  </si>
  <si>
    <t>NOVEMBRO</t>
  </si>
  <si>
    <t>DEZEMBRO</t>
  </si>
  <si>
    <t>Último Dia Mês</t>
  </si>
  <si>
    <t>Saldo</t>
  </si>
  <si>
    <t>Fluxo de Caixa</t>
  </si>
  <si>
    <t>Movimentações Diárias</t>
  </si>
  <si>
    <t>Saldo Inicial da Conta</t>
  </si>
  <si>
    <t>Resultado Diário</t>
  </si>
  <si>
    <t>Total Mês</t>
  </si>
  <si>
    <t>Relatório Mensal</t>
  </si>
  <si>
    <t>Descrição (opcional)</t>
  </si>
  <si>
    <t>JULHO</t>
  </si>
  <si>
    <t>AGOSTO</t>
  </si>
  <si>
    <t>SETEMBRO</t>
  </si>
  <si>
    <t>OUTUBRO</t>
  </si>
  <si>
    <t>Outros</t>
  </si>
  <si>
    <t>Saída</t>
  </si>
  <si>
    <t>Internet</t>
  </si>
  <si>
    <t>Salário</t>
  </si>
  <si>
    <t>Entrada</t>
  </si>
  <si>
    <t>R$2.500,00 - FGTS descontado</t>
  </si>
  <si>
    <t>Fatura Cartão</t>
  </si>
  <si>
    <t>Pix Anderson</t>
  </si>
  <si>
    <t>Parcela 6/8</t>
  </si>
  <si>
    <t>R$109,90 - Desconto</t>
  </si>
  <si>
    <t>Parcela CNH</t>
  </si>
  <si>
    <t>Última parcela da carta</t>
  </si>
  <si>
    <t>Caixinha Faculdade</t>
  </si>
  <si>
    <t>Juliana Bofi - Clínica Dentista</t>
  </si>
  <si>
    <t>Última parcela da clínica</t>
  </si>
  <si>
    <t>Investimento CDB</t>
  </si>
  <si>
    <t>Mercado</t>
  </si>
  <si>
    <t>Cantina Microlins</t>
  </si>
  <si>
    <t>Horário de janta trabalho</t>
  </si>
  <si>
    <t>Café da manhã</t>
  </si>
  <si>
    <t>Cabelo</t>
  </si>
  <si>
    <t>Corte de cabelo</t>
  </si>
  <si>
    <t>Resgate RDB</t>
  </si>
  <si>
    <t>Caixinha da faculdade</t>
  </si>
  <si>
    <t>Adiantei pagar essa fatura que ainda não fechou</t>
  </si>
  <si>
    <t>Pix pra testar se funcionava</t>
  </si>
  <si>
    <t>São Paulo - Algo para comer</t>
  </si>
  <si>
    <t>Pix do Anderson. 07º parcela</t>
  </si>
  <si>
    <t>Fatura fechada do mês de outubro</t>
  </si>
  <si>
    <t>Serviço Extra</t>
  </si>
  <si>
    <t>Desbloqueio de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</si>
</sst>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d/m/yy;@"/>
    <numFmt numFmtId="166" formatCode="ddd\ \-\ dd/mm/yy"/>
  </numFmts>
  <fonts count="41" x14ac:knownFonts="1">
    <font>
      <sz val="11"/>
      <color theme="1"/>
      <name val="Calibri"/>
      <family val="2"/>
      <scheme val="minor"/>
    </font>
    <font>
      <sz val="10"/>
      <color theme="1"/>
      <name val="Microsoft PhagsPa"/>
      <family val="2"/>
    </font>
    <font>
      <sz val="10"/>
      <color theme="1"/>
      <name val="Microsoft PhagsPa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8"/>
      <name val="Calibri"/>
      <family val="2"/>
      <scheme val="minor"/>
    </font>
    <font>
      <sz val="11"/>
      <color theme="0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0"/>
      <name val="Segoe UI"/>
      <family val="2"/>
    </font>
    <font>
      <b/>
      <sz val="12"/>
      <color theme="0"/>
      <name val="Segoe UI"/>
      <family val="2"/>
    </font>
    <font>
      <b/>
      <sz val="18"/>
      <color theme="0"/>
      <name val="Segoe UI"/>
      <family val="2"/>
    </font>
    <font>
      <b/>
      <sz val="11"/>
      <color theme="0" tint="-0.14999847407452621"/>
      <name val="Segoe UI"/>
      <family val="2"/>
    </font>
    <font>
      <b/>
      <sz val="16"/>
      <color rgb="FF0070C0"/>
      <name val="Segoe UI"/>
      <family val="2"/>
    </font>
    <font>
      <b/>
      <sz val="11"/>
      <color theme="0" tint="-4.9989318521683403E-2"/>
      <name val="Segoe UI"/>
      <family val="2"/>
    </font>
    <font>
      <b/>
      <sz val="12"/>
      <color theme="0" tint="-4.9989318521683403E-2"/>
      <name val="Segoe UI"/>
      <family val="2"/>
    </font>
    <font>
      <b/>
      <sz val="11"/>
      <color rgb="FF0070C0"/>
      <name val="Segoe UI"/>
      <family val="2"/>
    </font>
    <font>
      <b/>
      <sz val="14"/>
      <color theme="0" tint="-0.14999847407452621"/>
      <name val="Segoe UI"/>
      <family val="2"/>
    </font>
    <font>
      <sz val="8"/>
      <color theme="0"/>
      <name val="Segoe UI"/>
      <family val="2"/>
    </font>
    <font>
      <b/>
      <sz val="16"/>
      <color theme="0"/>
      <name val="Segoe UI"/>
      <family val="2"/>
    </font>
    <font>
      <b/>
      <sz val="16"/>
      <color theme="4" tint="0.39997558519241921"/>
      <name val="Segoe UI"/>
      <family val="2"/>
    </font>
    <font>
      <b/>
      <sz val="14"/>
      <color theme="4" tint="0.39997558519241921"/>
      <name val="Segoe UI"/>
      <family val="2"/>
    </font>
    <font>
      <sz val="11"/>
      <name val="Segoe UI"/>
      <family val="2"/>
    </font>
    <font>
      <sz val="10"/>
      <color rgb="FF006100"/>
      <name val="Microsoft PhagsPa"/>
      <family val="2"/>
    </font>
    <font>
      <b/>
      <sz val="10"/>
      <color theme="0"/>
      <name val="Microsoft PhagsPa"/>
      <family val="2"/>
    </font>
    <font>
      <b/>
      <sz val="16"/>
      <color theme="1"/>
      <name val="Microsoft PhagsPa"/>
      <family val="2"/>
    </font>
    <font>
      <sz val="10"/>
      <color rgb="FFC00000"/>
      <name val="Microsoft PhagsPa"/>
      <family val="2"/>
    </font>
    <font>
      <b/>
      <sz val="10"/>
      <color rgb="FF006100"/>
      <name val="Microsoft PhagsPa"/>
      <family val="2"/>
    </font>
    <font>
      <b/>
      <sz val="10"/>
      <color rgb="FFC00000"/>
      <name val="Microsoft PhagsPa"/>
      <family val="2"/>
    </font>
    <font>
      <b/>
      <sz val="10"/>
      <color rgb="FF0070C0"/>
      <name val="Microsoft PhagsPa"/>
      <family val="2"/>
    </font>
    <font>
      <b/>
      <sz val="10"/>
      <color theme="2" tint="-0.749992370372631"/>
      <name val="Microsoft PhagsPa"/>
      <family val="2"/>
    </font>
    <font>
      <b/>
      <sz val="10"/>
      <color theme="1"/>
      <name val="Microsoft PhagsPa"/>
      <family val="2"/>
    </font>
    <font>
      <sz val="11"/>
      <color theme="1"/>
      <name val="Microsoft PhagsPa"/>
      <family val="2"/>
    </font>
    <font>
      <b/>
      <sz val="11"/>
      <color theme="0"/>
      <name val="Microsoft PhagsPa"/>
      <family val="2"/>
    </font>
    <font>
      <sz val="20"/>
      <color theme="0"/>
      <name val="Microsoft PhagsPa"/>
      <family val="2"/>
    </font>
    <font>
      <b/>
      <sz val="9"/>
      <color theme="0"/>
      <name val="Microsoft PhagsPa"/>
      <family val="2"/>
    </font>
    <font>
      <b/>
      <sz val="22"/>
      <color theme="0"/>
      <name val="Microsoft PhagsPa"/>
      <family val="2"/>
    </font>
    <font>
      <sz val="16"/>
      <color theme="0"/>
      <name val="Microsoft PhagsPa"/>
      <family val="2"/>
    </font>
    <font>
      <b/>
      <sz val="14"/>
      <color theme="1"/>
      <name val="Microsoft PhagsPa"/>
      <family val="2"/>
    </font>
    <font>
      <b/>
      <sz val="11"/>
      <color rgb="FF0070C0"/>
      <name val="Microsoft PhagsPa"/>
      <family val="2"/>
    </font>
    <font>
      <b/>
      <sz val="10"/>
      <color theme="8" tint="-0.499984740745262"/>
      <name val="Microsoft PhagsPa"/>
      <family val="2"/>
    </font>
    <font>
      <b/>
      <sz val="12"/>
      <color theme="1"/>
      <name val="Microsoft PhagsPa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/>
      <bottom style="medium">
        <color rgb="FF00B050"/>
      </bottom>
      <diagonal/>
    </border>
    <border>
      <left/>
      <right/>
      <top style="medium">
        <color rgb="FF00B050"/>
      </top>
      <bottom style="medium">
        <color rgb="FFC0000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 applyAlignment="1">
      <alignment horizontal="center" vertical="center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44" fontId="3" fillId="6" borderId="1" xfId="0" applyNumberFormat="1" applyFont="1" applyFill="1" applyBorder="1" applyAlignment="1">
      <alignment horizontal="center" vertical="center"/>
    </xf>
    <xf numFmtId="44" fontId="3" fillId="5" borderId="1" xfId="0" applyNumberFormat="1" applyFont="1" applyFill="1" applyBorder="1"/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14" fontId="9" fillId="9" borderId="0" xfId="0" applyNumberFormat="1" applyFont="1" applyFill="1" applyAlignment="1">
      <alignment vertical="center"/>
    </xf>
    <xf numFmtId="14" fontId="3" fillId="9" borderId="0" xfId="0" applyNumberFormat="1" applyFont="1" applyFill="1" applyAlignment="1">
      <alignment vertical="center"/>
    </xf>
    <xf numFmtId="0" fontId="14" fillId="9" borderId="0" xfId="0" applyFont="1" applyFill="1" applyAlignment="1">
      <alignment horizontal="right" vertical="center" indent="1"/>
    </xf>
    <xf numFmtId="14" fontId="15" fillId="9" borderId="0" xfId="0" applyNumberFormat="1" applyFont="1" applyFill="1" applyAlignment="1">
      <alignment horizontal="center" vertical="center"/>
    </xf>
    <xf numFmtId="14" fontId="10" fillId="9" borderId="0" xfId="0" applyNumberFormat="1" applyFont="1" applyFill="1" applyAlignment="1">
      <alignment horizontal="center" vertical="center"/>
    </xf>
    <xf numFmtId="0" fontId="13" fillId="9" borderId="0" xfId="0" applyFont="1" applyFill="1" applyAlignment="1">
      <alignment horizontal="right" vertical="center" indent="1"/>
    </xf>
    <xf numFmtId="44" fontId="3" fillId="6" borderId="3" xfId="0" applyNumberFormat="1" applyFont="1" applyFill="1" applyBorder="1" applyAlignment="1">
      <alignment horizontal="center" vertical="center"/>
    </xf>
    <xf numFmtId="44" fontId="13" fillId="8" borderId="0" xfId="0" applyNumberFormat="1" applyFont="1" applyFill="1" applyAlignment="1">
      <alignment vertical="center"/>
    </xf>
    <xf numFmtId="0" fontId="4" fillId="8" borderId="0" xfId="0" applyFont="1" applyFill="1" applyAlignment="1">
      <alignment horizontal="right" vertical="center" indent="1"/>
    </xf>
    <xf numFmtId="0" fontId="13" fillId="8" borderId="0" xfId="0" applyFont="1" applyFill="1" applyAlignment="1">
      <alignment horizontal="center" vertical="center"/>
    </xf>
    <xf numFmtId="14" fontId="9" fillId="9" borderId="4" xfId="0" applyNumberFormat="1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44" fontId="3" fillId="6" borderId="2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3" fillId="3" borderId="0" xfId="0" applyNumberFormat="1" applyFont="1" applyFill="1"/>
    <xf numFmtId="14" fontId="3" fillId="0" borderId="0" xfId="0" applyNumberFormat="1" applyFont="1"/>
    <xf numFmtId="0" fontId="3" fillId="0" borderId="0" xfId="0" applyFont="1"/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7" fillId="9" borderId="0" xfId="0" applyFont="1" applyFill="1" applyAlignment="1">
      <alignment vertical="center"/>
    </xf>
    <xf numFmtId="0" fontId="11" fillId="9" borderId="10" xfId="0" applyFont="1" applyFill="1" applyBorder="1" applyAlignment="1">
      <alignment horizontal="right" vertical="center" indent="1"/>
    </xf>
    <xf numFmtId="164" fontId="9" fillId="9" borderId="10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right" vertical="center" indent="1"/>
    </xf>
    <xf numFmtId="164" fontId="9" fillId="9" borderId="11" xfId="0" applyNumberFormat="1" applyFont="1" applyFill="1" applyBorder="1" applyAlignment="1">
      <alignment horizontal="center" vertical="center"/>
    </xf>
    <xf numFmtId="164" fontId="19" fillId="9" borderId="0" xfId="0" applyNumberFormat="1" applyFont="1" applyFill="1" applyAlignment="1">
      <alignment horizontal="center" vertical="center"/>
    </xf>
    <xf numFmtId="0" fontId="20" fillId="9" borderId="0" xfId="0" applyFont="1" applyFill="1" applyAlignment="1">
      <alignment horizontal="right" vertical="center" indent="1"/>
    </xf>
    <xf numFmtId="14" fontId="15" fillId="6" borderId="4" xfId="0" applyNumberFormat="1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>
      <alignment horizontal="right" vertical="center" indent="1"/>
    </xf>
    <xf numFmtId="0" fontId="4" fillId="9" borderId="4" xfId="0" applyFont="1" applyFill="1" applyBorder="1" applyAlignment="1">
      <alignment horizontal="right" vertical="center" indent="1"/>
    </xf>
    <xf numFmtId="164" fontId="18" fillId="9" borderId="4" xfId="0" applyNumberFormat="1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44" fontId="31" fillId="2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left" vertical="center" indent="1"/>
    </xf>
    <xf numFmtId="0" fontId="31" fillId="7" borderId="0" xfId="0" applyFont="1" applyFill="1" applyAlignment="1">
      <alignment horizontal="center" vertical="center"/>
    </xf>
    <xf numFmtId="44" fontId="34" fillId="7" borderId="0" xfId="0" applyNumberFormat="1" applyFont="1" applyFill="1" applyAlignment="1">
      <alignment horizontal="center"/>
    </xf>
    <xf numFmtId="44" fontId="34" fillId="4" borderId="0" xfId="0" applyNumberFormat="1" applyFont="1" applyFill="1" applyAlignment="1">
      <alignment horizontal="center"/>
    </xf>
    <xf numFmtId="0" fontId="31" fillId="0" borderId="0" xfId="0" applyFont="1" applyAlignment="1">
      <alignment horizontal="center" vertical="center"/>
    </xf>
    <xf numFmtId="44" fontId="31" fillId="4" borderId="0" xfId="1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44" fontId="32" fillId="2" borderId="0" xfId="0" applyNumberFormat="1" applyFont="1" applyFill="1" applyAlignment="1">
      <alignment horizontal="center" vertical="center"/>
    </xf>
    <xf numFmtId="14" fontId="31" fillId="5" borderId="8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center"/>
    </xf>
    <xf numFmtId="44" fontId="31" fillId="5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14" fontId="31" fillId="5" borderId="1" xfId="0" applyNumberFormat="1" applyFont="1" applyFill="1" applyBorder="1" applyAlignment="1">
      <alignment horizontal="center" vertical="center"/>
    </xf>
    <xf numFmtId="44" fontId="31" fillId="0" borderId="0" xfId="0" applyNumberFormat="1" applyFont="1" applyAlignment="1">
      <alignment horizontal="center" vertical="center"/>
    </xf>
    <xf numFmtId="0" fontId="36" fillId="7" borderId="0" xfId="0" applyFont="1" applyFill="1" applyAlignment="1">
      <alignment horizontal="left" vertical="top" indent="1"/>
    </xf>
    <xf numFmtId="0" fontId="4" fillId="4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164" fontId="32" fillId="2" borderId="0" xfId="0" applyNumberFormat="1" applyFont="1" applyFill="1" applyAlignment="1">
      <alignment horizontal="center"/>
    </xf>
    <xf numFmtId="164" fontId="38" fillId="6" borderId="0" xfId="0" applyNumberFormat="1" applyFont="1" applyFill="1" applyAlignment="1">
      <alignment horizontal="center"/>
    </xf>
    <xf numFmtId="164" fontId="26" fillId="5" borderId="14" xfId="0" applyNumberFormat="1" applyFont="1" applyFill="1" applyBorder="1" applyAlignment="1">
      <alignment horizontal="center" vertical="center"/>
    </xf>
    <xf numFmtId="164" fontId="27" fillId="5" borderId="14" xfId="0" applyNumberFormat="1" applyFont="1" applyFill="1" applyBorder="1" applyAlignment="1">
      <alignment horizontal="center" vertical="center"/>
    </xf>
    <xf numFmtId="164" fontId="39" fillId="5" borderId="14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3" fillId="2" borderId="12" xfId="0" applyFont="1" applyFill="1" applyBorder="1"/>
    <xf numFmtId="0" fontId="1" fillId="0" borderId="0" xfId="0" applyFont="1" applyAlignment="1">
      <alignment vertical="center"/>
    </xf>
    <xf numFmtId="0" fontId="29" fillId="3" borderId="0" xfId="0" applyFont="1" applyFill="1" applyAlignment="1">
      <alignment horizontal="center" vertical="center"/>
    </xf>
    <xf numFmtId="0" fontId="28" fillId="0" borderId="0" xfId="0" applyFont="1" applyAlignment="1">
      <alignment horizontal="right" vertical="center" indent="1"/>
    </xf>
    <xf numFmtId="166" fontId="28" fillId="3" borderId="1" xfId="0" applyNumberFormat="1" applyFont="1" applyFill="1" applyBorder="1" applyAlignment="1">
      <alignment horizontal="right" vertical="center" indent="1"/>
    </xf>
    <xf numFmtId="164" fontId="22" fillId="6" borderId="1" xfId="0" applyNumberFormat="1" applyFont="1" applyFill="1" applyBorder="1" applyAlignment="1">
      <alignment horizontal="center" vertical="center"/>
    </xf>
    <xf numFmtId="164" fontId="25" fillId="6" borderId="1" xfId="0" applyNumberFormat="1" applyFont="1" applyFill="1" applyBorder="1" applyAlignment="1">
      <alignment horizontal="center" vertical="center"/>
    </xf>
    <xf numFmtId="164" fontId="28" fillId="6" borderId="1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left"/>
    </xf>
    <xf numFmtId="0" fontId="35" fillId="2" borderId="13" xfId="0" applyFont="1" applyFill="1" applyBorder="1" applyAlignment="1">
      <alignment horizontal="left" wrapText="1" indent="1"/>
    </xf>
    <xf numFmtId="0" fontId="35" fillId="2" borderId="0" xfId="0" applyFont="1" applyFill="1" applyAlignment="1">
      <alignment horizontal="left" indent="1"/>
    </xf>
    <xf numFmtId="0" fontId="16" fillId="9" borderId="0" xfId="0" applyFont="1" applyFill="1" applyAlignment="1">
      <alignment horizontal="center" vertical="center"/>
    </xf>
    <xf numFmtId="0" fontId="12" fillId="3" borderId="0" xfId="0" applyFont="1" applyFill="1" applyAlignment="1" applyProtection="1">
      <alignment horizontal="center" vertical="center"/>
      <protection locked="0"/>
    </xf>
    <xf numFmtId="0" fontId="3" fillId="9" borderId="0" xfId="0" applyFont="1" applyFill="1" applyAlignment="1">
      <alignment horizontal="center" vertical="center"/>
    </xf>
    <xf numFmtId="14" fontId="8" fillId="9" borderId="4" xfId="0" applyNumberFormat="1" applyFont="1" applyFill="1" applyBorder="1" applyAlignment="1">
      <alignment horizontal="left" vertical="center" indent="1"/>
    </xf>
    <xf numFmtId="0" fontId="35" fillId="2" borderId="0" xfId="0" applyFont="1" applyFill="1" applyAlignment="1">
      <alignment horizontal="left" vertical="center" wrapText="1"/>
    </xf>
    <xf numFmtId="0" fontId="40" fillId="0" borderId="0" xfId="0" applyFont="1" applyAlignment="1">
      <alignment horizontal="center" vertical="center"/>
    </xf>
    <xf numFmtId="0" fontId="40" fillId="0" borderId="15" xfId="0" applyFont="1" applyBorder="1" applyAlignment="1">
      <alignment horizontal="center" vertical="center"/>
    </xf>
  </cellXfs>
  <cellStyles count="3">
    <cellStyle name="Moeda" xfId="1" builtinId="4"/>
    <cellStyle name="Moeda 2" xfId="2" xr:uid="{DB19B774-ED26-4DFD-A19F-F4F132BF045D}"/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theme="0"/>
        </top>
        <bottom/>
        <vertical/>
        <horizontal/>
      </border>
    </dxf>
    <dxf>
      <border outline="0">
        <top style="medium">
          <color theme="0"/>
        </top>
      </border>
    </dxf>
    <dxf>
      <border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  <protection locked="1" hidden="0"/>
    </dxf>
    <dxf>
      <border>
        <top style="medium">
          <color theme="0"/>
        </top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border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 style="medium">
          <color theme="0"/>
        </vertical>
        <horizontal style="medium">
          <color theme="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medium">
          <color theme="0"/>
        </right>
        <top style="medium">
          <color theme="0"/>
        </top>
        <bottom style="medium">
          <color theme="0"/>
        </bottom>
      </border>
      <protection locked="1" hidden="0"/>
    </dxf>
    <dxf>
      <border>
        <top style="medium">
          <color theme="0"/>
        </top>
      </border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protection locked="1" hidden="0"/>
    </dxf>
    <dxf>
      <border outline="0"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name val="Microsoft PhagsP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name val="Microsoft PhagsPa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PhagsPa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PhagsPa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PhagsPa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PhagsPa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PhagsPa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 outline="0"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name val="Microsoft PhagsPa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Microsoft PhagsPa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6100"/>
      <color rgb="FF9900FF"/>
      <color rgb="FFAE12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portalfiscal.inf.br/nfe' xmlns:ns2='http://www.w3.org/2000/09/xmldsig#'">
  <Schema ID="Schema3" Namespace="http://www.w3.org/2000/09/xmldsig#">
    <xsd:schema xmlns:xsd="http://www.w3.org/2001/XMLSchema" xmlns:ns0="http://www.w3.org/2000/09/xmldsig#" xmlns="" targetNamespace="http://www.w3.org/2000/09/xmldsig#">
      <xsd:element nillable="true" name="Signature">
        <xsd:complexType>
          <xsd:sequence minOccurs="0">
            <xsd:element minOccurs="0" nillable="true" name="SignedInfo" form="qualified">
              <xsd:complexType>
                <xsd:sequence minOccurs="0">
                  <xsd:element minOccurs="0" nillable="true" name="CanonicalizationMethod" form="qualified">
                    <xsd:complexType>
                      <xsd:attribute name="Algorithm" form="unqualified" type="xsd:anyURI"/>
                    </xsd:complexType>
                  </xsd:element>
                  <xsd:element minOccurs="0" nillable="true" name="SignatureMethod" form="qualified">
                    <xsd:complexType>
                      <xsd:attribute name="Algorithm" form="unqualified" type="xsd:anyURI"/>
                    </xsd:complexType>
                  </xsd:element>
                  <xsd:element minOccurs="0" nillable="true" name="Reference" form="qualified">
                    <xsd:complexType>
                      <xsd:sequence minOccurs="0">
                        <xsd:element minOccurs="0" nillable="true" name="Transforms" form="qualified">
                          <xsd:complexType>
                            <xsd:sequence minOccurs="0">
                              <xsd:element minOccurs="0" maxOccurs="unbounded" nillable="true" name="Transform" form="qualified">
                                <xsd:complexType>
                                  <xsd:attribute name="Algorithm" form="unqualified" type="xsd:anyURI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DigestMethod" form="qualified">
                          <xsd:complexType>
                            <xsd:attribute name="Algorithm" form="unqualified" type="xsd:anyURI"/>
                          </xsd:complexType>
                        </xsd:element>
                        <xsd:element minOccurs="0" nillable="true" type="xsd:string" name="DigestValue" form="qualified"/>
                      </xsd:sequence>
                      <xsd:attribute name="URI" form="unqualified" type="xsd:string"/>
                    </xsd:complexType>
                  </xsd:element>
                </xsd:sequence>
              </xsd:complexType>
            </xsd:element>
            <xsd:element minOccurs="0" nillable="true" type="xsd:string" name="SignatureValue" form="qualified"/>
            <xsd:element minOccurs="0" nillable="true" name="KeyInfo" form="qualified">
              <xsd:complexType>
                <xsd:sequence minOccurs="0">
                  <xsd:element minOccurs="0" nillable="true" name="X509Data" form="qualified">
                    <xsd:complexType>
                      <xsd:sequence minOccurs="0">
                        <xsd:element minOccurs="0" nillable="true" type="xsd:string" name="X509Certificate" form="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4" SchemaRef="Schema3" Namespace="http://www.portalfiscal.inf.br/nfe">
    <xsd:schema xmlns:xsd="http://www.w3.org/2001/XMLSchema" xmlns:ns0="http://www.w3.org/2000/09/xmldsig#" xmlns:ns1="http://www.portalfiscal.inf.br/nfe" xmlns="" targetNamespace="http://www.portalfiscal.inf.br/nfe">
      <xsd:import namespace="http://www.w3.org/2000/09/xmldsig#"/>
      <xsd:element nillable="true" name="nfeProc">
        <xsd:complexType>
          <xsd:sequence minOccurs="0">
            <xsd:element minOccurs="0" nillable="true" name="NFe" form="qualified">
              <xsd:complexType>
                <xsd:sequence minOccurs="0">
                  <xsd:element minOccurs="0" nillable="true" name="infNFe" form="qualified">
                    <xsd:complexType>
                      <xsd:sequence minOccurs="0">
                        <xsd:element minOccurs="0" nillable="true" name="ide" form="qualified">
                          <xsd:complexType>
                            <xsd:sequence minOccurs="0">
                              <xsd:element minOccurs="0" nillable="true" type="xsd:integer" name="cUF" form="qualified"/>
                              <xsd:element minOccurs="0" nillable="true" type="xsd:integer" name="cNF" form="qualified"/>
                              <xsd:element minOccurs="0" nillable="true" type="xsd:string" name="natOp" form="qualified"/>
                              <xsd:element minOccurs="0" nillable="true" type="xsd:integer" name="mod" form="qualified"/>
                              <xsd:element minOccurs="0" nillable="true" type="xsd:integer" name="serie" form="qualified"/>
                              <xsd:element minOccurs="0" nillable="true" type="xsd:integer" name="nNF" form="qualified"/>
                              <xsd:element minOccurs="0" nillable="true" type="xsd:dateTime" name="dhEmi" form="qualified"/>
                              <xsd:element minOccurs="0" nillable="true" type="xsd:dateTime" name="dhSaiEnt" form="qualified"/>
                              <xsd:element minOccurs="0" nillable="true" type="xsd:integer" name="tpNF" form="qualified"/>
                              <xsd:element minOccurs="0" nillable="true" type="xsd:integer" name="idDest" form="qualified"/>
                              <xsd:element minOccurs="0" nillable="true" type="xsd:integer" name="cMunFG" form="qualified"/>
                              <xsd:element minOccurs="0" nillable="true" type="xsd:integer" name="tpImp" form="qualified"/>
                              <xsd:element minOccurs="0" nillable="true" type="xsd:integer" name="tpEmis" form="qualified"/>
                              <xsd:element minOccurs="0" nillable="true" type="xsd:integer" name="cDV" form="qualified"/>
                              <xsd:element minOccurs="0" nillable="true" type="xsd:integer" name="tpAmb" form="qualified"/>
                              <xsd:element minOccurs="0" nillable="true" type="xsd:integer" name="finNFe" form="qualified"/>
                              <xsd:element minOccurs="0" nillable="true" type="xsd:integer" name="indFinal" form="qualified"/>
                              <xsd:element minOccurs="0" nillable="true" type="xsd:integer" name="indPres" form="qualified"/>
                              <xsd:element minOccurs="0" nillable="true" type="xsd:integer" name="procEmi" form="qualified"/>
                              <xsd:element minOccurs="0" nillable="true" type="xsd:string" name="verProc" form="qualified"/>
                            </xsd:sequence>
                          </xsd:complexType>
                        </xsd:element>
                        <xsd:element minOccurs="0" nillable="true" name="emit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string" name="xNome" form="qualified"/>
                              <xsd:element minOccurs="0" nillable="true" type="xsd:string" name="xFant" form="qualified"/>
                              <xsd:element minOccurs="0" nillable="true" name="enderEmit" form="qualified">
                                <xsd:complexType>
                                  <xsd:sequence minOccurs="0">
                                    <xsd:element minOccurs="0" nillable="true" type="xsd:string" name="xLgr" form="qualified"/>
                                    <xsd:element minOccurs="0" nillable="true" type="xsd:integer" name="nro" form="qualified"/>
                                    <xsd:element minOccurs="0" nillable="true" type="xsd:string" name="xBairro" form="qualified"/>
                                    <xsd:element minOccurs="0" nillable="true" type="xsd:integer" name="cMun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  <xsd:element minOccurs="0" nillable="true" type="xsd:integer" name="CEP" form="qualified"/>
                                    <xsd:element minOccurs="0" nillable="true" type="xsd:integer" name="cPais" form="qualified"/>
                                    <xsd:element minOccurs="0" nillable="true" type="xsd:string" name="xPais" form="qualified"/>
                                    <xsd:element minOccurs="0" nillable="true" type="xsd:integer" name="fone" form="qualified"/>
                                  </xsd:sequence>
                                </xsd:complexType>
                              </xsd:element>
                              <xsd:element minOccurs="0" nillable="true" type="xsd:integer" name="IE" form="qualified"/>
                              <xsd:element minOccurs="0" nillable="true" type="xsd:integer" name="CRT" form="qualified"/>
                            </xsd:sequence>
                          </xsd:complexType>
                        </xsd:element>
                        <xsd:element minOccurs="0" nillable="true" name="dest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string" name="xNome" form="qualified"/>
                              <xsd:element minOccurs="0" nillable="true" name="enderDest" form="qualified">
                                <xsd:complexType>
                                  <xsd:sequence minOccurs="0">
                                    <xsd:element minOccurs="0" nillable="true" type="xsd:string" name="xLgr" form="qualified"/>
                                    <xsd:element minOccurs="0" nillable="true" type="xsd:integer" name="nro" form="qualified"/>
                                    <xsd:element minOccurs="0" nillable="true" type="xsd:string" name="xCpl" form="qualified"/>
                                    <xsd:element minOccurs="0" nillable="true" type="xsd:string" name="xBairro" form="qualified"/>
                                    <xsd:element minOccurs="0" nillable="true" type="xsd:integer" name="cMun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  <xsd:element minOccurs="0" nillable="true" type="xsd:integer" name="CEP" form="qualified"/>
                                    <xsd:element minOccurs="0" nillable="true" type="xsd:integer" name="cPais" form="qualified"/>
                                    <xsd:element minOccurs="0" nillable="true" type="xsd:string" name="xPais" form="qualified"/>
                                    <xsd:element minOccurs="0" nillable="true" type="xsd:integer" name="fone" form="qualified"/>
                                  </xsd:sequence>
                                </xsd:complexType>
                              </xsd:element>
                              <xsd:element minOccurs="0" nillable="true" type="xsd:integer" name="indIEDest" form="qualified"/>
                              <xsd:element minOccurs="0" nillable="true" type="xsd:integer" name="IE" form="qualified"/>
                              <xsd:element minOccurs="0" nillable="true" type="xsd:string" name="email" form="qualified"/>
                            </xsd:sequence>
                          </xsd:complexType>
                        </xsd:element>
                        <xsd:element minOccurs="0" maxOccurs="unbounded" nillable="true" name="det" form="qualified">
                          <xsd:complexType>
                            <xsd:sequence minOccurs="0">
                              <xsd:element minOccurs="0" nillable="true" name="prod" form="qualified">
                                <xsd:complexType>
                                  <xsd:sequence minOccurs="0">
                                    <xsd:element minOccurs="0" nillable="true" type="xsd:integer" name="cProd" form="qualified"/>
                                    <xsd:element minOccurs="0" nillable="true" type="xsd:string" name="cEAN" form="qualified"/>
                                    <xsd:element minOccurs="0" nillable="true" type="xsd:string" name="xProd" form="qualified"/>
                                    <xsd:element minOccurs="0" nillable="true" type="xsd:integer" name="NCM" form="qualified"/>
                                    <xsd:element minOccurs="0" nillable="true" type="xsd:integer" name="CEST" form="qualified"/>
                                    <xsd:element minOccurs="0" nillable="true" type="xsd:integer" name="CFOP" form="qualified"/>
                                    <xsd:element minOccurs="0" nillable="true" type="xsd:string" name="uCom" form="qualified"/>
                                    <xsd:element minOccurs="0" nillable="true" type="xsd:double" name="qCom" form="qualified"/>
                                    <xsd:element minOccurs="0" nillable="true" type="xsd:double" name="vUnCom" form="qualified"/>
                                    <xsd:element minOccurs="0" nillable="true" type="xsd:double" name="vProd" form="qualified"/>
                                    <xsd:element minOccurs="0" nillable="true" type="xsd:string" name="cEANTrib" form="qualified"/>
                                    <xsd:element minOccurs="0" nillable="true" type="xsd:string" name="uTrib" form="qualified"/>
                                    <xsd:element minOccurs="0" nillable="true" type="xsd:double" name="qTrib" form="qualified"/>
                                    <xsd:element minOccurs="0" nillable="true" type="xsd:double" name="vUnTrib" form="qualified"/>
                                    <xsd:element minOccurs="0" nillable="true" type="xsd:integer" name="indTot" form="qualified"/>
                                  </xsd:sequence>
                                </xsd:complexType>
                              </xsd:element>
                              <xsd:element minOccurs="0" nillable="true" name="imposto" form="qualified">
                                <xsd:complexType>
                                  <xsd:sequence minOccurs="0">
                                    <xsd:element minOccurs="0" nillable="true" type="xsd:double" name="vTotTrib" form="qualified"/>
                                    <xsd:element minOccurs="0" nillable="true" name="ICMS" form="qualified">
                                      <xsd:complexType>
                                        <xsd:sequence minOccurs="0">
                                          <xsd:element minOccurs="0" nillable="true" name="ICMS40" form="qualified">
                                            <xsd:complexType>
                                              <xsd:sequence minOccurs="0">
                                                <xsd:element minOccurs="0" nillable="true" type="xsd:integer" name="orig" form="qualified"/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IPI" form="qualified">
                                      <xsd:complexType>
                                        <xsd:sequence minOccurs="0">
                                          <xsd:element minOccurs="0" nillable="true" type="xsd:integer" name="qSelo" form="qualified"/>
                                          <xsd:element minOccurs="0" nillable="true" type="xsd:integer" name="cEnq" form="qualified"/>
                                          <xsd:element minOccurs="0" nillable="true" name="IPINT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PIS" form="qualified">
                                      <xsd:complexType>
                                        <xsd:sequence minOccurs="0">
                                          <xsd:element minOccurs="0" nillable="true" name="PISNT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COFINS" form="qualified">
                                      <xsd:complexType>
                                        <xsd:sequence minOccurs="0">
                                          <xsd:element minOccurs="0" nillable="true" name="COFINSNT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type="xsd:string" name="infAdProd" form="qualified"/>
                            </xsd:sequence>
                            <xsd:attribute name="nItem" form="unqualified" type="xsd:integer"/>
                          </xsd:complexType>
                        </xsd:element>
                        <xsd:element minOccurs="0" nillable="true" name="total" form="qualified">
                          <xsd:complexType>
                            <xsd:sequence minOccurs="0">
                              <xsd:element minOccurs="0" nillable="true" name="ICMSTot" form="qualified">
                                <xsd:complexType>
                                  <xsd:sequence minOccurs="0">
                                    <xsd:element minOccurs="0" nillable="true" type="xsd:double" name="vBC" form="qualified"/>
                                    <xsd:element minOccurs="0" nillable="true" type="xsd:double" name="vICMS" form="qualified"/>
                                    <xsd:element minOccurs="0" nillable="true" type="xsd:double" name="vICMSDeson" form="qualified"/>
                                    <xsd:element minOccurs="0" nillable="true" type="xsd:double" name="vFCPUFDest" form="qualified"/>
                                    <xsd:element minOccurs="0" nillable="true" type="xsd:double" name="vICMSUFDest" form="qualified"/>
                                    <xsd:element minOccurs="0" nillable="true" type="xsd:double" name="vICMSUFRemet" form="qualified"/>
                                    <xsd:element minOccurs="0" nillable="true" type="xsd:double" name="vFCP" form="qualified"/>
                                    <xsd:element minOccurs="0" nillable="true" type="xsd:double" name="vBCST" form="qualified"/>
                                    <xsd:element minOccurs="0" nillable="true" type="xsd:double" name="vST" form="qualified"/>
                                    <xsd:element minOccurs="0" nillable="true" type="xsd:double" name="vFCPST" form="qualified"/>
                                    <xsd:element minOccurs="0" nillable="true" type="xsd:double" name="vFCPSTRet" form="qualified"/>
                                    <xsd:element minOccurs="0" nillable="true" type="xsd:double" name="vProd" form="qualified"/>
                                    <xsd:element minOccurs="0" nillable="true" type="xsd:double" name="vFrete" form="qualified"/>
                                    <xsd:element minOccurs="0" nillable="true" type="xsd:double" name="vSeg" form="qualified"/>
                                    <xsd:element minOccurs="0" nillable="true" type="xsd:double" name="vDesc" form="qualified"/>
                                    <xsd:element minOccurs="0" nillable="true" type="xsd:double" name="vII" form="qualified"/>
                                    <xsd:element minOccurs="0" nillable="true" type="xsd:double" name="vIPI" form="qualified"/>
                                    <xsd:element minOccurs="0" nillable="true" type="xsd:double" name="vIPIDevol" form="qualified"/>
                                    <xsd:element minOccurs="0" nillable="true" type="xsd:double" name="vPIS" form="qualified"/>
                                    <xsd:element minOccurs="0" nillable="true" type="xsd:double" name="vCOFINS" form="qualified"/>
                                    <xsd:element minOccurs="0" nillable="true" type="xsd:double" name="vOutro" form="qualified"/>
                                    <xsd:element minOccurs="0" nillable="true" type="xsd:double" name="vNF" form="qualified"/>
                                    <xsd:element minOccurs="0" nillable="true" type="xsd:double" name="vTotTrib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transp" form="qualified">
                          <xsd:complexType>
                            <xsd:sequence minOccurs="0">
                              <xsd:element minOccurs="0" nillable="true" type="xsd:integer" name="modFrete" form="qualified"/>
                              <xsd:element minOccurs="0" nillable="true" name="vol" form="qualified">
                                <xsd:complexType>
                                  <xsd:sequence minOccurs="0">
                                    <xsd:element minOccurs="0" nillable="true" type="xsd:integer" name="qVol" form="qualified"/>
                                    <xsd:element minOccurs="0" nillable="true" type="xsd:double" name="pesoL" form="qualified"/>
                                    <xsd:element minOccurs="0" nillable="true" type="xsd:double" name="pesoB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cobr" form="qualified">
                          <xsd:complexType>
                            <xsd:sequence minOccurs="0">
                              <xsd:element minOccurs="0" nillable="true" name="fat" form="qualified">
                                <xsd:complexType>
                                  <xsd:sequence minOccurs="0">
                                    <xsd:element minOccurs="0" nillable="true" type="xsd:string" name="nFat" form="qualified"/>
                                    <xsd:element minOccurs="0" nillable="true" type="xsd:double" name="vOrig" form="qualified"/>
                                    <xsd:element minOccurs="0" nillable="true" type="xsd:double" name="vDesc" form="qualified"/>
                                    <xsd:element minOccurs="0" nillable="true" type="xsd:double" name="vLiq" form="qualified"/>
                                  </xsd:sequence>
                                </xsd:complexType>
                              </xsd:element>
                              <xsd:element minOccurs="0" nillable="true" name="dup" form="qualified">
                                <xsd:complexType>
                                  <xsd:sequence minOccurs="0">
                                    <xsd:element minOccurs="0" nillable="true" type="xsd:integer" name="nDup" form="qualified"/>
                                    <xsd:element minOccurs="0" nillable="true" type="xsd:date" name="dVenc" form="qualified"/>
                                    <xsd:element minOccurs="0" nillable="true" type="xsd:double" name="vDup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pag" form="qualified">
                          <xsd:complexType>
                            <xsd:sequence minOccurs="0">
                              <xsd:element minOccurs="0" nillable="true" name="detPag" form="qualified">
                                <xsd:complexType>
                                  <xsd:sequence minOccurs="0">
                                    <xsd:element minOccurs="0" nillable="true" type="xsd:integer" name="tPag" form="qualified"/>
                                    <xsd:element minOccurs="0" nillable="true" type="xsd:double" name="vPag" form="qualified"/>
                                  </xsd:sequence>
                                </xsd:complexType>
                              </xsd:element>
                              <xsd:element minOccurs="0" nillable="true" type="xsd:double" name="vTroco" form="qualified"/>
                            </xsd:sequence>
                          </xsd:complexType>
                        </xsd:element>
                        <xsd:element minOccurs="0" nillable="true" name="infAdic" form="qualified">
                          <xsd:complexType>
                            <xsd:sequence minOccurs="0">
                              <xsd:element minOccurs="0" nillable="true" type="xsd:string" name="infAdFisco" form="qualified"/>
                              <xsd:element minOccurs="0" nillable="true" type="xsd:string" name="infCpl" form="qualified"/>
                            </xsd:sequence>
                          </xsd:complexType>
                        </xsd:element>
                      </xsd:sequence>
                      <xsd:attribute name="Id" form="unqualified" type="xsd:string"/>
                      <xsd:attribute name="versao" form="unqualified" type="xsd:double"/>
                    </xsd:complexType>
                  </xsd:element>
                  <xsd:element minOccurs="0" ref="ns0:Signature"/>
                </xsd:sequence>
              </xsd:complexType>
            </xsd:element>
            <xsd:element minOccurs="0" nillable="true" name="protNFe" form="qualified">
              <xsd:complexType>
                <xsd:sequence minOccurs="0">
                  <xsd:element minOccurs="0" nillable="true" name="infProt" form="qualified">
                    <xsd:complexType>
                      <xsd:sequence minOccurs="0">
                        <xsd:element minOccurs="0" nillable="true" type="xsd:integer" name="tpAmb" form="qualified"/>
                        <xsd:element minOccurs="0" nillable="true" type="xsd:string" name="verAplic" form="qualified"/>
                        <xsd:element minOccurs="0" nillable="true" type="xsd:integer" name="chNFe" form="qualified"/>
                        <xsd:element minOccurs="0" nillable="true" type="xsd:dateTime" name="dhRecbto" form="qualified"/>
                        <xsd:element minOccurs="0" nillable="true" type="xsd:integer" name="nProt" form="qualified"/>
                        <xsd:element minOccurs="0" nillable="true" type="xsd:string" name="digVal" form="qualified"/>
                        <xsd:element minOccurs="0" nillable="true" type="xsd:integer" name="cStat" form="qualified"/>
                        <xsd:element minOccurs="0" nillable="true" type="xsd:string" name="xMotivo" form="qualified"/>
                      </xsd:sequence>
                      <xsd:attribute name="Id" form="unqualified" type="xsd:string"/>
                    </xsd:complexType>
                  </xsd:element>
                </xsd:sequence>
                <xsd:attribute name="versao" form="unqualified" type="xsd:double"/>
              </xsd:complexType>
            </xsd:element>
          </xsd:sequence>
          <xsd:attribute name="versao" form="unqualified" type="xsd:double"/>
        </xsd:complexType>
      </xsd:element>
    </xsd:schema>
  </Schema>
  <Map ID="2" Name="nfeProc_Mapa" RootElement="nfeProc" SchemaID="Schema4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xmlMaps" Target="xmlMap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bg1">
                    <a:lumMod val="95000"/>
                  </a:schemeClr>
                </a:solidFill>
              </a:rPr>
              <a:t>Entrada x Saída </a:t>
            </a:r>
            <a:r>
              <a:rPr lang="pt-BR" b="1" baseline="0">
                <a:solidFill>
                  <a:schemeClr val="bg1">
                    <a:lumMod val="95000"/>
                  </a:schemeClr>
                </a:solidFill>
              </a:rPr>
              <a:t>- Mensal</a:t>
            </a:r>
            <a:endParaRPr lang="pt-BR" b="1">
              <a:solidFill>
                <a:schemeClr val="bg1">
                  <a:lumMod val="95000"/>
                </a:schemeClr>
              </a:solidFill>
            </a:endParaRPr>
          </a:p>
        </c:rich>
      </c:tx>
      <c:layout>
        <c:manualLayout>
          <c:xMode val="edge"/>
          <c:yMode val="edge"/>
          <c:x val="0.41887794738188439"/>
          <c:y val="2.1390374331550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049868687504819E-2"/>
          <c:y val="0.15817174955250288"/>
          <c:w val="0.97900262624990364"/>
          <c:h val="0.6955823121728158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Auxiliar!$R$4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Auxiliar!$S$1:$AD$1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2296</c:v>
                </c:pt>
                <c:pt idx="10">
                  <c:v>2346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EF-4363-9657-ECFEB6CC7457}"/>
            </c:ext>
          </c:extLst>
        </c:ser>
        <c:ser>
          <c:idx val="0"/>
          <c:order val="1"/>
          <c:tx>
            <c:strRef>
              <c:f>Auxiliar!$B$4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Auxiliar!$C$4:$N$4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Auxiliar!$C$1:$N$1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2545.62</c:v>
                </c:pt>
                <c:pt idx="10">
                  <c:v>2075.13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F-4363-9657-ECFEB6CC74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5"/>
        <c:axId val="440711488"/>
        <c:axId val="440711816"/>
      </c:barChart>
      <c:catAx>
        <c:axId val="4407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0711816"/>
        <c:crosses val="autoZero"/>
        <c:auto val="1"/>
        <c:lblAlgn val="ctr"/>
        <c:lblOffset val="100"/>
        <c:noMultiLvlLbl val="0"/>
      </c:catAx>
      <c:valAx>
        <c:axId val="44071181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40711488"/>
        <c:crosses val="autoZero"/>
        <c:crossBetween val="between"/>
      </c:valAx>
      <c:spPr>
        <a:solidFill>
          <a:schemeClr val="tx2">
            <a:lumMod val="50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bg1">
                    <a:lumMod val="95000"/>
                  </a:schemeClr>
                </a:solidFill>
              </a:rPr>
              <a:t>Entrada</a:t>
            </a:r>
          </a:p>
        </c:rich>
      </c:tx>
      <c:layout>
        <c:manualLayout>
          <c:xMode val="edge"/>
          <c:yMode val="edge"/>
          <c:x val="0.4345976880366425"/>
          <c:y val="3.0894333025101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5137460433493747E-3"/>
          <c:y val="8.7816098324103475E-2"/>
          <c:w val="0.58577929468116774"/>
          <c:h val="0.56545365205075582"/>
        </c:manualLayout>
      </c:layout>
      <c:doughnutChart>
        <c:varyColors val="1"/>
        <c:ser>
          <c:idx val="0"/>
          <c:order val="0"/>
          <c:tx>
            <c:strRef>
              <c:f>DashBoard!$D$13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E70-484E-ABC5-BBE1F93BFCD8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E70-484E-ABC5-BBE1F93BFCD8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E70-484E-ABC5-BBE1F93BFCD8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E70-484E-ABC5-BBE1F93BFCD8}"/>
              </c:ext>
            </c:extLst>
          </c:dPt>
          <c:dPt>
            <c:idx val="4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E70-484E-ABC5-BBE1F93BFCD8}"/>
              </c:ext>
            </c:extLst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E70-484E-ABC5-BBE1F93BFCD8}"/>
              </c:ext>
            </c:extLst>
          </c:dPt>
          <c:cat>
            <c:strRef>
              <c:f>DashBoard!$C$14:$C$19</c:f>
              <c:strCache>
                <c:ptCount val="6"/>
                <c:pt idx="0">
                  <c:v>Salário</c:v>
                </c:pt>
                <c:pt idx="1">
                  <c:v>Serviço Extra</c:v>
                </c:pt>
                <c:pt idx="2">
                  <c:v>0</c:v>
                </c:pt>
                <c:pt idx="3">
                  <c:v>-</c:v>
                </c:pt>
                <c:pt idx="4">
                  <c:v>-</c:v>
                </c:pt>
                <c:pt idx="5">
                  <c:v>Demais</c:v>
                </c:pt>
              </c:strCache>
            </c:strRef>
          </c:cat>
          <c:val>
            <c:numRef>
              <c:f>DashBoard!$D$14:$D$19</c:f>
              <c:numCache>
                <c:formatCode>_("R$"* #,##0.00_);_("R$"* \(#,##0.00\);_("R$"* "-"??_);_(@_)</c:formatCode>
                <c:ptCount val="6"/>
                <c:pt idx="0">
                  <c:v>4592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0-484E-ABC5-BBE1F93B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60656063465777244"/>
          <c:y val="8.5649235817274558E-2"/>
          <c:w val="0.18224040152626306"/>
          <c:h val="0.56200449234001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bg1">
                    <a:lumMod val="95000"/>
                  </a:schemeClr>
                </a:solidFill>
              </a:rPr>
              <a:t>Saída</a:t>
            </a:r>
          </a:p>
        </c:rich>
      </c:tx>
      <c:layout>
        <c:manualLayout>
          <c:xMode val="edge"/>
          <c:yMode val="edge"/>
          <c:x val="0.43628092696943688"/>
          <c:y val="1.143837595792985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0510604420892887"/>
          <c:y val="7.1922180673133898E-2"/>
          <c:w val="0.58849124902041272"/>
          <c:h val="0.57156119008015249"/>
        </c:manualLayout>
      </c:layout>
      <c:doughnutChart>
        <c:varyColors val="1"/>
        <c:ser>
          <c:idx val="0"/>
          <c:order val="0"/>
          <c:tx>
            <c:strRef>
              <c:f>DashBoard!$S$13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0E-4534-A355-D1845F0FCA54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0E-4534-A355-D1845F0FCA54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0E-4534-A355-D1845F0FCA54}"/>
              </c:ext>
            </c:extLst>
          </c:dPt>
          <c:dPt>
            <c:idx val="10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79-42D6-9DC7-C16EAC19A108}"/>
              </c:ext>
            </c:extLst>
          </c:dPt>
          <c:cat>
            <c:strRef>
              <c:f>DashBoard!$R$14:$R$24</c:f>
              <c:strCache>
                <c:ptCount val="11"/>
                <c:pt idx="0">
                  <c:v>Fatura Cartão</c:v>
                </c:pt>
                <c:pt idx="1">
                  <c:v>Parcela CNH</c:v>
                </c:pt>
                <c:pt idx="2">
                  <c:v>Investimento CDB</c:v>
                </c:pt>
                <c:pt idx="3">
                  <c:v>Juliana Bofi - Clínica Dentista</c:v>
                </c:pt>
                <c:pt idx="4">
                  <c:v>Outros</c:v>
                </c:pt>
                <c:pt idx="5">
                  <c:v>Pix Anderson</c:v>
                </c:pt>
                <c:pt idx="6">
                  <c:v>Internet</c:v>
                </c:pt>
                <c:pt idx="7">
                  <c:v>Caixinha Faculdade</c:v>
                </c:pt>
                <c:pt idx="8">
                  <c:v>Cabelo</c:v>
                </c:pt>
                <c:pt idx="9">
                  <c:v>Mercado</c:v>
                </c:pt>
                <c:pt idx="10">
                  <c:v>Demais</c:v>
                </c:pt>
              </c:strCache>
            </c:strRef>
          </c:cat>
          <c:val>
            <c:numRef>
              <c:f>DashBoard!$S$14:$S$24</c:f>
              <c:numCache>
                <c:formatCode>_("R$"* #,##0.00_);_("R$"* \(#,##0.00\);_("R$"* "-"??_);_(@_)</c:formatCode>
                <c:ptCount val="11"/>
                <c:pt idx="0">
                  <c:v>3132.95</c:v>
                </c:pt>
                <c:pt idx="1">
                  <c:v>388</c:v>
                </c:pt>
                <c:pt idx="2">
                  <c:v>330</c:v>
                </c:pt>
                <c:pt idx="3">
                  <c:v>320</c:v>
                </c:pt>
                <c:pt idx="4">
                  <c:v>201</c:v>
                </c:pt>
                <c:pt idx="5">
                  <c:v>200</c:v>
                </c:pt>
                <c:pt idx="6">
                  <c:v>199.8</c:v>
                </c:pt>
                <c:pt idx="7">
                  <c:v>50</c:v>
                </c:pt>
                <c:pt idx="8">
                  <c:v>50</c:v>
                </c:pt>
                <c:pt idx="9">
                  <c:v>44.78</c:v>
                </c:pt>
                <c:pt idx="10">
                  <c:v>9.1499999999996362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E-4534-A355-D1845F0FC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4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7419860432137925E-2"/>
          <c:y val="7.1865156724041784E-2"/>
          <c:w val="0.21164807005759351"/>
          <c:h val="0.896438226149250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C$3" max="3000" min="2000" page="10" val="2024"/>
</file>

<file path=xl/ctrlProps/ctrlProp2.xml><?xml version="1.0" encoding="utf-8"?>
<formControlPr xmlns="http://schemas.microsoft.com/office/spreadsheetml/2009/9/main" objectType="Spin" dx="22" fmlaLink="$D$5" max="30000" page="10" val="2024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Resultado Di&#225;rio'!A1"/><Relationship Id="rId3" Type="http://schemas.openxmlformats.org/officeDocument/2006/relationships/image" Target="../media/image2.svg"/><Relationship Id="rId7" Type="http://schemas.openxmlformats.org/officeDocument/2006/relationships/hyperlink" Target="#'Tabela Din&#226;mica'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Base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Auxiliar!A1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hyperlink" Target="#DashBoard!A1"/><Relationship Id="rId18" Type="http://schemas.openxmlformats.org/officeDocument/2006/relationships/image" Target="../media/image17.svg"/><Relationship Id="rId3" Type="http://schemas.openxmlformats.org/officeDocument/2006/relationships/chart" Target="../charts/chart3.xml"/><Relationship Id="rId21" Type="http://schemas.openxmlformats.org/officeDocument/2006/relationships/image" Target="../media/image18.svg"/><Relationship Id="rId7" Type="http://schemas.openxmlformats.org/officeDocument/2006/relationships/image" Target="../media/image14.svg"/><Relationship Id="rId12" Type="http://schemas.openxmlformats.org/officeDocument/2006/relationships/image" Target="../media/image15.svg"/><Relationship Id="rId17" Type="http://schemas.openxmlformats.org/officeDocument/2006/relationships/image" Target="../media/image5.png"/><Relationship Id="rId2" Type="http://schemas.openxmlformats.org/officeDocument/2006/relationships/chart" Target="../charts/chart2.xml"/><Relationship Id="rId16" Type="http://schemas.openxmlformats.org/officeDocument/2006/relationships/hyperlink" Target="#'Tabela Din&#226;mica'!A1"/><Relationship Id="rId20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13.png"/><Relationship Id="rId11" Type="http://schemas.openxmlformats.org/officeDocument/2006/relationships/image" Target="../media/image1.png"/><Relationship Id="rId5" Type="http://schemas.openxmlformats.org/officeDocument/2006/relationships/image" Target="../media/image12.svg"/><Relationship Id="rId15" Type="http://schemas.openxmlformats.org/officeDocument/2006/relationships/image" Target="../media/image16.svg"/><Relationship Id="rId10" Type="http://schemas.openxmlformats.org/officeDocument/2006/relationships/hyperlink" Target="#Base!A1"/><Relationship Id="rId19" Type="http://schemas.openxmlformats.org/officeDocument/2006/relationships/hyperlink" Target="#Auxiliar!A1"/><Relationship Id="rId4" Type="http://schemas.openxmlformats.org/officeDocument/2006/relationships/image" Target="../media/image11.png"/><Relationship Id="rId9" Type="http://schemas.openxmlformats.org/officeDocument/2006/relationships/image" Target="../media/image10.svg"/><Relationship Id="rId14" Type="http://schemas.openxmlformats.org/officeDocument/2006/relationships/image" Target="../media/image3.png"/><Relationship Id="rId22" Type="http://schemas.openxmlformats.org/officeDocument/2006/relationships/hyperlink" Target="#'Resultado Di&#225;rio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Resultado Di&#225;rio'!A1"/><Relationship Id="rId3" Type="http://schemas.openxmlformats.org/officeDocument/2006/relationships/image" Target="../media/image15.svg"/><Relationship Id="rId7" Type="http://schemas.openxmlformats.org/officeDocument/2006/relationships/hyperlink" Target="#'Tabela Din&#226;mica'!A1"/><Relationship Id="rId12" Type="http://schemas.openxmlformats.org/officeDocument/2006/relationships/image" Target="../media/image18.svg"/><Relationship Id="rId2" Type="http://schemas.openxmlformats.org/officeDocument/2006/relationships/image" Target="../media/image1.png"/><Relationship Id="rId1" Type="http://schemas.openxmlformats.org/officeDocument/2006/relationships/hyperlink" Target="#Base!A1"/><Relationship Id="rId6" Type="http://schemas.openxmlformats.org/officeDocument/2006/relationships/image" Target="../media/image16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Auxiliar!A1"/><Relationship Id="rId4" Type="http://schemas.openxmlformats.org/officeDocument/2006/relationships/hyperlink" Target="#DashBoard!A1"/><Relationship Id="rId9" Type="http://schemas.openxmlformats.org/officeDocument/2006/relationships/image" Target="../media/image17.svg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Resultado Di&#225;rio'!A1"/><Relationship Id="rId3" Type="http://schemas.openxmlformats.org/officeDocument/2006/relationships/image" Target="../media/image2.svg"/><Relationship Id="rId7" Type="http://schemas.openxmlformats.org/officeDocument/2006/relationships/hyperlink" Target="#'Tabela Din&#226;mica'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Base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Auxiliar!A1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Info!A1"/><Relationship Id="rId18" Type="http://schemas.openxmlformats.org/officeDocument/2006/relationships/image" Target="../media/image10.svg"/><Relationship Id="rId3" Type="http://schemas.openxmlformats.org/officeDocument/2006/relationships/image" Target="../media/image15.svg"/><Relationship Id="rId7" Type="http://schemas.openxmlformats.org/officeDocument/2006/relationships/hyperlink" Target="#'Tabela Din&#226;mica'!A1"/><Relationship Id="rId12" Type="http://schemas.openxmlformats.org/officeDocument/2006/relationships/image" Target="../media/image18.svg"/><Relationship Id="rId17" Type="http://schemas.openxmlformats.org/officeDocument/2006/relationships/image" Target="../media/image9.png"/><Relationship Id="rId2" Type="http://schemas.openxmlformats.org/officeDocument/2006/relationships/image" Target="../media/image1.png"/><Relationship Id="rId16" Type="http://schemas.openxmlformats.org/officeDocument/2006/relationships/hyperlink" Target="#'Resultado Di&#225;rio'!A1"/><Relationship Id="rId1" Type="http://schemas.openxmlformats.org/officeDocument/2006/relationships/hyperlink" Target="#Base!A1"/><Relationship Id="rId6" Type="http://schemas.openxmlformats.org/officeDocument/2006/relationships/image" Target="../media/image16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20.svg"/><Relationship Id="rId10" Type="http://schemas.openxmlformats.org/officeDocument/2006/relationships/hyperlink" Target="#Auxiliar!A1"/><Relationship Id="rId4" Type="http://schemas.openxmlformats.org/officeDocument/2006/relationships/hyperlink" Target="#DashBoard!A1"/><Relationship Id="rId9" Type="http://schemas.openxmlformats.org/officeDocument/2006/relationships/image" Target="../media/image17.sv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161925</xdr:colOff>
      <xdr:row>2</xdr:row>
      <xdr:rowOff>85725</xdr:rowOff>
    </xdr:from>
    <xdr:to>
      <xdr:col>4</xdr:col>
      <xdr:colOff>1543050</xdr:colOff>
      <xdr:row>3</xdr:row>
      <xdr:rowOff>28575</xdr:rowOff>
    </xdr:to>
    <xdr:sp macro="" textlink="$G$3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990975" y="819150"/>
          <a:ext cx="1381125" cy="30480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9575966-5A08-4567-B13B-898E416E5D30}" type="TxLink">
            <a:rPr lang="en-US" sz="1050" b="1" i="0" u="none" strike="noStrike">
              <a:solidFill>
                <a:srgbClr val="00B050"/>
              </a:solidFill>
              <a:latin typeface="Segoe UI"/>
              <a:cs typeface="Segoe UI"/>
            </a:rPr>
            <a:pPr algn="ctr"/>
            <a:t> R$ 4.996,49 </a:t>
          </a:fld>
          <a:endParaRPr lang="pt-BR" sz="1050" b="1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4</xdr:col>
      <xdr:colOff>1676400</xdr:colOff>
      <xdr:row>2</xdr:row>
      <xdr:rowOff>85725</xdr:rowOff>
    </xdr:from>
    <xdr:to>
      <xdr:col>4</xdr:col>
      <xdr:colOff>3057525</xdr:colOff>
      <xdr:row>3</xdr:row>
      <xdr:rowOff>28575</xdr:rowOff>
    </xdr:to>
    <xdr:sp macro="" textlink="$H$3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505450" y="819150"/>
          <a:ext cx="1381125" cy="30480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A2595AD-9BC9-4237-8923-D61CC27D5ACD}" type="TxLink">
            <a:rPr lang="en-US" sz="1050" b="1" i="0" u="none" strike="noStrike">
              <a:solidFill>
                <a:srgbClr val="C00000"/>
              </a:solidFill>
              <a:latin typeface="Segoe UI"/>
              <a:cs typeface="Segoe UI"/>
            </a:rPr>
            <a:pPr algn="ctr"/>
            <a:t> R$ 4.925,68 </a:t>
          </a:fld>
          <a:endParaRPr lang="pt-BR" sz="1050" b="1">
            <a:solidFill>
              <a:srgbClr val="C00000"/>
            </a:solidFill>
          </a:endParaRPr>
        </a:p>
      </xdr:txBody>
    </xdr:sp>
    <xdr:clientData/>
  </xdr:twoCellAnchor>
  <xdr:twoCellAnchor editAs="absolute">
    <xdr:from>
      <xdr:col>4</xdr:col>
      <xdr:colOff>115116</xdr:colOff>
      <xdr:row>1</xdr:row>
      <xdr:rowOff>28574</xdr:rowOff>
    </xdr:from>
    <xdr:to>
      <xdr:col>4</xdr:col>
      <xdr:colOff>1595842</xdr:colOff>
      <xdr:row>2</xdr:row>
      <xdr:rowOff>102634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944166" y="571499"/>
          <a:ext cx="14807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050" b="0">
              <a:solidFill>
                <a:schemeClr val="bg1"/>
              </a:solidFill>
            </a:rPr>
            <a:t>Subtotal de </a:t>
          </a:r>
          <a:r>
            <a:rPr lang="pt-BR" sz="1100" b="1">
              <a:solidFill>
                <a:schemeClr val="bg1"/>
              </a:solidFill>
            </a:rPr>
            <a:t>ENTRADAS</a:t>
          </a:r>
        </a:p>
      </xdr:txBody>
    </xdr:sp>
    <xdr:clientData/>
  </xdr:twoCellAnchor>
  <xdr:twoCellAnchor editAs="absolute">
    <xdr:from>
      <xdr:col>4</xdr:col>
      <xdr:colOff>1771650</xdr:colOff>
      <xdr:row>1</xdr:row>
      <xdr:rowOff>28574</xdr:rowOff>
    </xdr:from>
    <xdr:to>
      <xdr:col>4</xdr:col>
      <xdr:colOff>3093807</xdr:colOff>
      <xdr:row>2</xdr:row>
      <xdr:rowOff>102634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00700" y="571499"/>
          <a:ext cx="13221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50" b="0">
              <a:solidFill>
                <a:schemeClr val="bg1"/>
              </a:solidFill>
            </a:rPr>
            <a:t>Subtotal</a:t>
          </a:r>
          <a:r>
            <a:rPr lang="pt-BR" sz="1050" b="0" baseline="0">
              <a:solidFill>
                <a:schemeClr val="bg1"/>
              </a:solidFill>
            </a:rPr>
            <a:t> de </a:t>
          </a:r>
          <a:r>
            <a:rPr lang="pt-BR" sz="1100" b="1" baseline="0">
              <a:solidFill>
                <a:schemeClr val="bg1"/>
              </a:solidFill>
            </a:rPr>
            <a:t>SAÍDAS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3209925</xdr:colOff>
      <xdr:row>2</xdr:row>
      <xdr:rowOff>85725</xdr:rowOff>
    </xdr:from>
    <xdr:to>
      <xdr:col>5</xdr:col>
      <xdr:colOff>400050</xdr:colOff>
      <xdr:row>3</xdr:row>
      <xdr:rowOff>28575</xdr:rowOff>
    </xdr:to>
    <xdr:sp macro="" textlink="$I$3">
      <xdr:nvSpPr>
        <xdr:cNvPr id="21" name="Retângulo: Cantos Arredondados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038975" y="819150"/>
          <a:ext cx="1381125" cy="30480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F9BB4EF-4F82-4B80-A3EE-84AF360844C5}" type="TxLink">
            <a:rPr lang="en-US" sz="1050" b="1" i="0" u="none" strike="noStrike">
              <a:solidFill>
                <a:srgbClr val="0070C0"/>
              </a:solidFill>
              <a:latin typeface="Microsoft PhagsPa"/>
              <a:cs typeface="Segoe UI"/>
            </a:rPr>
            <a:pPr algn="ctr"/>
            <a:t> R$ 70,81 </a:t>
          </a:fld>
          <a:endParaRPr lang="pt-BR" sz="1050" b="1">
            <a:solidFill>
              <a:srgbClr val="0070C0"/>
            </a:solidFill>
          </a:endParaRPr>
        </a:p>
      </xdr:txBody>
    </xdr:sp>
    <xdr:clientData/>
  </xdr:twoCellAnchor>
  <xdr:twoCellAnchor editAs="absolute">
    <xdr:from>
      <xdr:col>4</xdr:col>
      <xdr:colOff>3438525</xdr:colOff>
      <xdr:row>1</xdr:row>
      <xdr:rowOff>28574</xdr:rowOff>
    </xdr:from>
    <xdr:to>
      <xdr:col>5</xdr:col>
      <xdr:colOff>253634</xdr:colOff>
      <xdr:row>2</xdr:row>
      <xdr:rowOff>102634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7267575" y="571499"/>
          <a:ext cx="10061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SALDO </a:t>
          </a:r>
          <a:r>
            <a:rPr lang="pt-BR" sz="1050" b="0">
              <a:solidFill>
                <a:schemeClr val="bg1"/>
              </a:solidFill>
            </a:rPr>
            <a:t>parcial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oneCellAnchor>
    <xdr:from>
      <xdr:col>10</xdr:col>
      <xdr:colOff>314325</xdr:colOff>
      <xdr:row>0</xdr:row>
      <xdr:rowOff>28575</xdr:rowOff>
    </xdr:from>
    <xdr:ext cx="85440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9201150" y="28575"/>
          <a:ext cx="8544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rgbClr val="0070C0"/>
              </a:solidFill>
            </a:rPr>
            <a:t>Saldo Geral</a:t>
          </a:r>
        </a:p>
      </xdr:txBody>
    </xdr:sp>
    <xdr:clientData/>
  </xdr:oneCellAnchor>
  <xdr:twoCellAnchor editAs="absolute">
    <xdr:from>
      <xdr:col>3</xdr:col>
      <xdr:colOff>1162050</xdr:colOff>
      <xdr:row>0</xdr:row>
      <xdr:rowOff>0</xdr:rowOff>
    </xdr:from>
    <xdr:to>
      <xdr:col>4</xdr:col>
      <xdr:colOff>135038</xdr:colOff>
      <xdr:row>0</xdr:row>
      <xdr:rowOff>432000</xdr:rowOff>
    </xdr:to>
    <xdr:grpSp>
      <xdr:nvGrpSpPr>
        <xdr:cNvPr id="48" name="Agrupar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2962275" y="0"/>
          <a:ext cx="1001813" cy="432000"/>
          <a:chOff x="369787" y="0"/>
          <a:chExt cx="1001813" cy="432000"/>
        </a:xfrm>
      </xdr:grpSpPr>
      <xdr:pic>
        <xdr:nvPicPr>
          <xdr:cNvPr id="49" name="Gráfico 48" descr="Tabela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69787" y="0"/>
            <a:ext cx="432000" cy="432000"/>
          </a:xfrm>
          <a:prstGeom prst="rect">
            <a:avLst/>
          </a:prstGeom>
        </xdr:spPr>
      </xdr:pic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 txBox="1"/>
        </xdr:nvSpPr>
        <xdr:spPr>
          <a:xfrm>
            <a:off x="561975" y="87792"/>
            <a:ext cx="809625" cy="2564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BASE</a:t>
            </a:r>
          </a:p>
        </xdr:txBody>
      </xdr:sp>
    </xdr:grpSp>
    <xdr:clientData/>
  </xdr:twoCellAnchor>
  <xdr:twoCellAnchor editAs="absolute">
    <xdr:from>
      <xdr:col>4</xdr:col>
      <xdr:colOff>214170</xdr:colOff>
      <xdr:row>0</xdr:row>
      <xdr:rowOff>0</xdr:rowOff>
    </xdr:from>
    <xdr:to>
      <xdr:col>4</xdr:col>
      <xdr:colOff>1401720</xdr:colOff>
      <xdr:row>0</xdr:row>
      <xdr:rowOff>432000</xdr:rowOff>
    </xdr:to>
    <xdr:grpSp>
      <xdr:nvGrpSpPr>
        <xdr:cNvPr id="51" name="Agrupar 5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4043220" y="0"/>
          <a:ext cx="1187550" cy="432000"/>
          <a:chOff x="1207987" y="3977"/>
          <a:chExt cx="1187550" cy="432000"/>
        </a:xfrm>
      </xdr:grpSpPr>
      <xdr:pic>
        <xdr:nvPicPr>
          <xdr:cNvPr id="52" name="Gráfico 51" descr="Apresentação com gráfico de barras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207987" y="3977"/>
            <a:ext cx="432000" cy="432000"/>
          </a:xfrm>
          <a:prstGeom prst="rect">
            <a:avLst/>
          </a:prstGeom>
        </xdr:spPr>
      </xdr:pic>
      <xdr:sp macro="" textlink="">
        <xdr:nvSpPr>
          <xdr:cNvPr id="53" name="CaixaDeTexto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 txBox="1"/>
        </xdr:nvSpPr>
        <xdr:spPr>
          <a:xfrm>
            <a:off x="1595437" y="91769"/>
            <a:ext cx="800100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DASHBOARD</a:t>
            </a:r>
          </a:p>
        </xdr:txBody>
      </xdr:sp>
    </xdr:grpSp>
    <xdr:clientData/>
  </xdr:twoCellAnchor>
  <xdr:twoCellAnchor editAs="absolute">
    <xdr:from>
      <xdr:col>4</xdr:col>
      <xdr:colOff>1480852</xdr:colOff>
      <xdr:row>0</xdr:row>
      <xdr:rowOff>0</xdr:rowOff>
    </xdr:from>
    <xdr:to>
      <xdr:col>4</xdr:col>
      <xdr:colOff>2635065</xdr:colOff>
      <xdr:row>0</xdr:row>
      <xdr:rowOff>432000</xdr:rowOff>
    </xdr:to>
    <xdr:grpSp>
      <xdr:nvGrpSpPr>
        <xdr:cNvPr id="54" name="Agrupar 5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5309902" y="0"/>
          <a:ext cx="1154213" cy="432000"/>
          <a:chOff x="2131912" y="0"/>
          <a:chExt cx="1154213" cy="432000"/>
        </a:xfrm>
      </xdr:grpSpPr>
      <xdr:pic>
        <xdr:nvPicPr>
          <xdr:cNvPr id="55" name="Gráfico 54" descr="Manual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131912" y="0"/>
            <a:ext cx="432000" cy="432000"/>
          </a:xfrm>
          <a:prstGeom prst="rect">
            <a:avLst/>
          </a:prstGeom>
        </xdr:spPr>
      </xdr:pic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 txBox="1"/>
        </xdr:nvSpPr>
        <xdr:spPr>
          <a:xfrm>
            <a:off x="2476500" y="23119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TABELA</a:t>
            </a:r>
            <a:b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</a:br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DINÂMICA</a:t>
            </a:r>
          </a:p>
        </xdr:txBody>
      </xdr:sp>
    </xdr:grpSp>
    <xdr:clientData/>
  </xdr:twoCellAnchor>
  <xdr:twoCellAnchor editAs="absolute">
    <xdr:from>
      <xdr:col>4</xdr:col>
      <xdr:colOff>3848242</xdr:colOff>
      <xdr:row>0</xdr:row>
      <xdr:rowOff>0</xdr:rowOff>
    </xdr:from>
    <xdr:to>
      <xdr:col>5</xdr:col>
      <xdr:colOff>749542</xdr:colOff>
      <xdr:row>0</xdr:row>
      <xdr:rowOff>432000</xdr:rowOff>
    </xdr:to>
    <xdr:grpSp>
      <xdr:nvGrpSpPr>
        <xdr:cNvPr id="57" name="Agrupar 5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7677292" y="0"/>
          <a:ext cx="1092300" cy="432000"/>
          <a:chOff x="2912962" y="28167"/>
          <a:chExt cx="1092300" cy="432000"/>
        </a:xfrm>
      </xdr:grpSpPr>
      <xdr:pic>
        <xdr:nvPicPr>
          <xdr:cNvPr id="58" name="Gráfico 57" descr="Engrenagem única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912962" y="28167"/>
            <a:ext cx="432000" cy="432000"/>
          </a:xfrm>
          <a:prstGeom prst="rect">
            <a:avLst/>
          </a:prstGeom>
        </xdr:spPr>
      </xdr:pic>
      <xdr:sp macro="" textlink="">
        <xdr:nvSpPr>
          <xdr:cNvPr id="59" name="CaixaDeTexto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 txBox="1"/>
        </xdr:nvSpPr>
        <xdr:spPr>
          <a:xfrm>
            <a:off x="3186113" y="115959"/>
            <a:ext cx="819149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AUXILIAR</a:t>
            </a:r>
            <a:endParaRPr lang="pt-BR" sz="1000" b="1">
              <a:solidFill>
                <a:schemeClr val="bg1"/>
              </a:solidFill>
              <a:latin typeface="Microsoft PhagsPa" panose="020B0502040204020203" pitchFamily="34" charset="0"/>
            </a:endParaRPr>
          </a:p>
        </xdr:txBody>
      </xdr:sp>
    </xdr:grpSp>
    <xdr:clientData/>
  </xdr:twoCellAnchor>
  <xdr:twoCellAnchor editAs="absolute">
    <xdr:from>
      <xdr:col>4</xdr:col>
      <xdr:colOff>2714197</xdr:colOff>
      <xdr:row>0</xdr:row>
      <xdr:rowOff>23119</xdr:rowOff>
    </xdr:from>
    <xdr:to>
      <xdr:col>4</xdr:col>
      <xdr:colOff>3769110</xdr:colOff>
      <xdr:row>0</xdr:row>
      <xdr:rowOff>408881</xdr:rowOff>
    </xdr:to>
    <xdr:grpSp>
      <xdr:nvGrpSpPr>
        <xdr:cNvPr id="63" name="Agrupar 6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6543247" y="23119"/>
          <a:ext cx="1054913" cy="385762"/>
          <a:chOff x="7312800" y="85725"/>
          <a:chExt cx="1054913" cy="385762"/>
        </a:xfrm>
      </xdr:grpSpPr>
      <xdr:sp macro="" textlink="">
        <xdr:nvSpPr>
          <xdr:cNvPr id="64" name="CaixaDeTexto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 txBox="1"/>
        </xdr:nvSpPr>
        <xdr:spPr>
          <a:xfrm>
            <a:off x="7558088" y="85725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RESULTADO</a:t>
            </a:r>
          </a:p>
          <a:p>
            <a:pPr algn="l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DIÁRIO</a:t>
            </a:r>
          </a:p>
        </xdr:txBody>
      </xdr:sp>
      <xdr:pic>
        <xdr:nvPicPr>
          <xdr:cNvPr id="65" name="Gráfico 64" descr="Dinheiro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7312800" y="134531"/>
            <a:ext cx="288150" cy="28815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9525</xdr:rowOff>
    </xdr:from>
    <xdr:to>
      <xdr:col>19</xdr:col>
      <xdr:colOff>47625</xdr:colOff>
      <xdr:row>7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159544</xdr:colOff>
      <xdr:row>12</xdr:row>
      <xdr:rowOff>102394</xdr:rowOff>
    </xdr:from>
    <xdr:to>
      <xdr:col>10</xdr:col>
      <xdr:colOff>771525</xdr:colOff>
      <xdr:row>26</xdr:row>
      <xdr:rowOff>190501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85725</xdr:colOff>
      <xdr:row>12</xdr:row>
      <xdr:rowOff>104775</xdr:rowOff>
    </xdr:from>
    <xdr:to>
      <xdr:col>16</xdr:col>
      <xdr:colOff>38101</xdr:colOff>
      <xdr:row>26</xdr:row>
      <xdr:rowOff>209550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1495425</xdr:colOff>
          <xdr:row>1</xdr:row>
          <xdr:rowOff>209550</xdr:rowOff>
        </xdr:from>
        <xdr:to>
          <xdr:col>4</xdr:col>
          <xdr:colOff>133350</xdr:colOff>
          <xdr:row>3</xdr:row>
          <xdr:rowOff>19050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10</xdr:col>
      <xdr:colOff>914400</xdr:colOff>
      <xdr:row>12</xdr:row>
      <xdr:rowOff>123825</xdr:rowOff>
    </xdr:from>
    <xdr:to>
      <xdr:col>10</xdr:col>
      <xdr:colOff>914400</xdr:colOff>
      <xdr:row>26</xdr:row>
      <xdr:rowOff>104775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7867650" y="2933700"/>
          <a:ext cx="0" cy="359092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201187</xdr:colOff>
      <xdr:row>6</xdr:row>
      <xdr:rowOff>19050</xdr:rowOff>
    </xdr:from>
    <xdr:to>
      <xdr:col>2</xdr:col>
      <xdr:colOff>606037</xdr:colOff>
      <xdr:row>6</xdr:row>
      <xdr:rowOff>423900</xdr:rowOff>
    </xdr:to>
    <xdr:pic>
      <xdr:nvPicPr>
        <xdr:cNvPr id="9" name="Gráfico 8" descr="Registr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05987" y="1828800"/>
          <a:ext cx="404850" cy="4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201187</xdr:colOff>
      <xdr:row>5</xdr:row>
      <xdr:rowOff>26175</xdr:rowOff>
    </xdr:from>
    <xdr:to>
      <xdr:col>2</xdr:col>
      <xdr:colOff>606037</xdr:colOff>
      <xdr:row>5</xdr:row>
      <xdr:rowOff>431025</xdr:rowOff>
    </xdr:to>
    <xdr:pic>
      <xdr:nvPicPr>
        <xdr:cNvPr id="11" name="Gráfico 10" descr="Sacola de compras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05987" y="1331100"/>
          <a:ext cx="404850" cy="4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201187</xdr:colOff>
      <xdr:row>4</xdr:row>
      <xdr:rowOff>33300</xdr:rowOff>
    </xdr:from>
    <xdr:to>
      <xdr:col>2</xdr:col>
      <xdr:colOff>606037</xdr:colOff>
      <xdr:row>4</xdr:row>
      <xdr:rowOff>438150</xdr:rowOff>
    </xdr:to>
    <xdr:pic>
      <xdr:nvPicPr>
        <xdr:cNvPr id="13" name="Gráfico 12" descr="Dinheir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05987" y="833400"/>
          <a:ext cx="404850" cy="40485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4</xdr:row>
      <xdr:rowOff>277051</xdr:rowOff>
    </xdr:from>
    <xdr:to>
      <xdr:col>0</xdr:col>
      <xdr:colOff>771525</xdr:colOff>
      <xdr:row>5</xdr:row>
      <xdr:rowOff>391351</xdr:rowOff>
    </xdr:to>
    <xdr:sp macro="" textlink="">
      <xdr:nvSpPr>
        <xdr:cNvPr id="72" name="Retângulo: Cantos Arredondados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57150" y="1077151"/>
          <a:ext cx="714375" cy="619125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</xdr:colOff>
      <xdr:row>1</xdr:row>
      <xdr:rowOff>0</xdr:rowOff>
    </xdr:from>
    <xdr:to>
      <xdr:col>0</xdr:col>
      <xdr:colOff>819150</xdr:colOff>
      <xdr:row>3</xdr:row>
      <xdr:rowOff>23055</xdr:rowOff>
    </xdr:to>
    <xdr:grpSp>
      <xdr:nvGrpSpPr>
        <xdr:cNvPr id="57" name="Agrupar 5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9525" y="109904"/>
          <a:ext cx="809625" cy="596997"/>
          <a:chOff x="9525" y="133350"/>
          <a:chExt cx="809625" cy="594555"/>
        </a:xfrm>
      </xdr:grpSpPr>
      <xdr:pic>
        <xdr:nvPicPr>
          <xdr:cNvPr id="58" name="Gráfico 57" descr="Tabela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98337" y="133350"/>
            <a:ext cx="432000" cy="432000"/>
          </a:xfrm>
          <a:prstGeom prst="rect">
            <a:avLst/>
          </a:prstGeom>
        </xdr:spPr>
      </xdr:pic>
      <xdr:sp macro="" textlink="">
        <xdr:nvSpPr>
          <xdr:cNvPr id="59" name="CaixaDeTexto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 txBox="1"/>
        </xdr:nvSpPr>
        <xdr:spPr>
          <a:xfrm>
            <a:off x="9525" y="471488"/>
            <a:ext cx="809625" cy="2564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BASE</a:t>
            </a:r>
          </a:p>
        </xdr:txBody>
      </xdr:sp>
    </xdr:grpSp>
    <xdr:clientData/>
  </xdr:twoCellAnchor>
  <xdr:twoCellAnchor>
    <xdr:from>
      <xdr:col>0</xdr:col>
      <xdr:colOff>14287</xdr:colOff>
      <xdr:row>4</xdr:row>
      <xdr:rowOff>279492</xdr:rowOff>
    </xdr:from>
    <xdr:to>
      <xdr:col>0</xdr:col>
      <xdr:colOff>814387</xdr:colOff>
      <xdr:row>5</xdr:row>
      <xdr:rowOff>410894</xdr:rowOff>
    </xdr:to>
    <xdr:grpSp>
      <xdr:nvGrpSpPr>
        <xdr:cNvPr id="60" name="Agrupar 5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pSpPr/>
      </xdr:nvGrpSpPr>
      <xdr:grpSpPr>
        <a:xfrm>
          <a:off x="14287" y="1085454"/>
          <a:ext cx="800100" cy="632075"/>
          <a:chOff x="14287" y="1108877"/>
          <a:chExt cx="800100" cy="636227"/>
        </a:xfrm>
      </xdr:grpSpPr>
      <xdr:pic>
        <xdr:nvPicPr>
          <xdr:cNvPr id="61" name="Gráfico 60" descr="Apresentação com gráfico de barras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198337" y="1108877"/>
            <a:ext cx="432000" cy="432000"/>
          </a:xfrm>
          <a:prstGeom prst="rect">
            <a:avLst/>
          </a:prstGeom>
        </xdr:spPr>
      </xdr:pic>
      <xdr:sp macro="" textlink="">
        <xdr:nvSpPr>
          <xdr:cNvPr id="62" name="CaixaDeTexto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 txBox="1"/>
        </xdr:nvSpPr>
        <xdr:spPr>
          <a:xfrm>
            <a:off x="14287" y="1488687"/>
            <a:ext cx="800100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DASHBOARD</a:t>
            </a:r>
          </a:p>
        </xdr:txBody>
      </xdr:sp>
    </xdr:grpSp>
    <xdr:clientData/>
  </xdr:twoCellAnchor>
  <xdr:twoCellAnchor>
    <xdr:from>
      <xdr:col>0</xdr:col>
      <xdr:colOff>9525</xdr:colOff>
      <xdr:row>6</xdr:row>
      <xdr:rowOff>286331</xdr:rowOff>
    </xdr:from>
    <xdr:to>
      <xdr:col>0</xdr:col>
      <xdr:colOff>819150</xdr:colOff>
      <xdr:row>10</xdr:row>
      <xdr:rowOff>198225</xdr:rowOff>
    </xdr:to>
    <xdr:grpSp>
      <xdr:nvGrpSpPr>
        <xdr:cNvPr id="63" name="Agrupar 6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GrpSpPr/>
      </xdr:nvGrpSpPr>
      <xdr:grpSpPr>
        <a:xfrm>
          <a:off x="9525" y="2093639"/>
          <a:ext cx="809625" cy="742278"/>
          <a:chOff x="9525" y="2126076"/>
          <a:chExt cx="809625" cy="750094"/>
        </a:xfrm>
      </xdr:grpSpPr>
      <xdr:pic>
        <xdr:nvPicPr>
          <xdr:cNvPr id="64" name="Gráfico 63" descr="Manual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198337" y="2126076"/>
            <a:ext cx="432000" cy="432000"/>
          </a:xfrm>
          <a:prstGeom prst="rect">
            <a:avLst/>
          </a:prstGeom>
        </xdr:spPr>
      </xdr:pic>
      <xdr:sp macro="" textlink="">
        <xdr:nvSpPr>
          <xdr:cNvPr id="65" name="CaixaDeTexto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/>
        </xdr:nvSpPr>
        <xdr:spPr>
          <a:xfrm>
            <a:off x="9525" y="2490408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TABELA</a:t>
            </a:r>
            <a:b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</a:br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DINÂMICA</a:t>
            </a:r>
          </a:p>
        </xdr:txBody>
      </xdr:sp>
    </xdr:grpSp>
    <xdr:clientData/>
  </xdr:twoCellAnchor>
  <xdr:twoCellAnchor>
    <xdr:from>
      <xdr:col>0</xdr:col>
      <xdr:colOff>4763</xdr:colOff>
      <xdr:row>16</xdr:row>
      <xdr:rowOff>133656</xdr:rowOff>
    </xdr:from>
    <xdr:to>
      <xdr:col>0</xdr:col>
      <xdr:colOff>823912</xdr:colOff>
      <xdr:row>18</xdr:row>
      <xdr:rowOff>243627</xdr:rowOff>
    </xdr:to>
    <xdr:grpSp>
      <xdr:nvGrpSpPr>
        <xdr:cNvPr id="66" name="Agrupar 6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4763" y="4334425"/>
          <a:ext cx="819149" cy="622856"/>
          <a:chOff x="4763" y="3257142"/>
          <a:chExt cx="819149" cy="624321"/>
        </a:xfrm>
      </xdr:grpSpPr>
      <xdr:pic>
        <xdr:nvPicPr>
          <xdr:cNvPr id="67" name="Gráfico 66" descr="Engrenagem única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198337" y="3257142"/>
            <a:ext cx="432000" cy="432000"/>
          </a:xfrm>
          <a:prstGeom prst="rect">
            <a:avLst/>
          </a:prstGeom>
        </xdr:spPr>
      </xdr:pic>
      <xdr:sp macro="" textlink="">
        <xdr:nvSpPr>
          <xdr:cNvPr id="68" name="CaixaDeTexto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 txBox="1"/>
        </xdr:nvSpPr>
        <xdr:spPr>
          <a:xfrm>
            <a:off x="4763" y="3625046"/>
            <a:ext cx="819149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AUXILIAR</a:t>
            </a:r>
            <a:endParaRPr lang="pt-BR" sz="1000" b="1">
              <a:solidFill>
                <a:schemeClr val="bg1"/>
              </a:solidFill>
              <a:latin typeface="Microsoft PhagsPa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26213</xdr:colOff>
      <xdr:row>12</xdr:row>
      <xdr:rowOff>45087</xdr:rowOff>
    </xdr:from>
    <xdr:to>
      <xdr:col>0</xdr:col>
      <xdr:colOff>835838</xdr:colOff>
      <xdr:row>15</xdr:row>
      <xdr:rowOff>10569</xdr:rowOff>
    </xdr:to>
    <xdr:grpSp>
      <xdr:nvGrpSpPr>
        <xdr:cNvPr id="10" name="Agrupar 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26213" y="3207875"/>
          <a:ext cx="809625" cy="747021"/>
          <a:chOff x="26213" y="2944405"/>
          <a:chExt cx="809625" cy="746532"/>
        </a:xfrm>
      </xdr:grpSpPr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6213" y="3305175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RESULTADO</a:t>
            </a:r>
          </a:p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DIÁRIO</a:t>
            </a:r>
          </a:p>
        </xdr:txBody>
      </xdr:sp>
      <xdr:pic>
        <xdr:nvPicPr>
          <xdr:cNvPr id="8" name="Gráfico 7" descr="Dinheiro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28599" y="2944405"/>
            <a:ext cx="371475" cy="3714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</xdr:row>
      <xdr:rowOff>171450</xdr:rowOff>
    </xdr:from>
    <xdr:to>
      <xdr:col>0</xdr:col>
      <xdr:colOff>781050</xdr:colOff>
      <xdr:row>11</xdr:row>
      <xdr:rowOff>152400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66675" y="2124075"/>
          <a:ext cx="714375" cy="742950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38099</xdr:colOff>
      <xdr:row>0</xdr:row>
      <xdr:rowOff>38101</xdr:rowOff>
    </xdr:from>
    <xdr:to>
      <xdr:col>1</xdr:col>
      <xdr:colOff>1876424</xdr:colOff>
      <xdr:row>1</xdr:row>
      <xdr:rowOff>828676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9" y="38101"/>
              <a:ext cx="183832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266700</xdr:colOff>
      <xdr:row>0</xdr:row>
      <xdr:rowOff>104774</xdr:rowOff>
    </xdr:from>
    <xdr:to>
      <xdr:col>13</xdr:col>
      <xdr:colOff>466725</xdr:colOff>
      <xdr:row>5</xdr:row>
      <xdr:rowOff>19050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a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3250" y="104774"/>
              <a:ext cx="1009650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0</xdr:col>
      <xdr:colOff>9525</xdr:colOff>
      <xdr:row>1</xdr:row>
      <xdr:rowOff>0</xdr:rowOff>
    </xdr:from>
    <xdr:to>
      <xdr:col>0</xdr:col>
      <xdr:colOff>819150</xdr:colOff>
      <xdr:row>1</xdr:row>
      <xdr:rowOff>594555</xdr:rowOff>
    </xdr:to>
    <xdr:grpSp>
      <xdr:nvGrpSpPr>
        <xdr:cNvPr id="22" name="Agrupar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/>
      </xdr:nvGrpSpPr>
      <xdr:grpSpPr>
        <a:xfrm>
          <a:off x="9525" y="123825"/>
          <a:ext cx="809625" cy="594555"/>
          <a:chOff x="9525" y="133350"/>
          <a:chExt cx="809625" cy="594555"/>
        </a:xfrm>
      </xdr:grpSpPr>
      <xdr:pic>
        <xdr:nvPicPr>
          <xdr:cNvPr id="23" name="Gráfico 22" descr="Tabela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98337" y="133350"/>
            <a:ext cx="432000" cy="432000"/>
          </a:xfrm>
          <a:prstGeom prst="rect">
            <a:avLst/>
          </a:prstGeom>
        </xdr:spPr>
      </xdr:pic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25" y="471488"/>
            <a:ext cx="809625" cy="2564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BASE</a:t>
            </a:r>
          </a:p>
        </xdr:txBody>
      </xdr:sp>
    </xdr:grpSp>
    <xdr:clientData/>
  </xdr:twoCellAnchor>
  <xdr:twoCellAnchor>
    <xdr:from>
      <xdr:col>0</xdr:col>
      <xdr:colOff>14287</xdr:colOff>
      <xdr:row>2</xdr:row>
      <xdr:rowOff>99227</xdr:rowOff>
    </xdr:from>
    <xdr:to>
      <xdr:col>0</xdr:col>
      <xdr:colOff>814387</xdr:colOff>
      <xdr:row>5</xdr:row>
      <xdr:rowOff>163954</xdr:rowOff>
    </xdr:to>
    <xdr:grpSp>
      <xdr:nvGrpSpPr>
        <xdr:cNvPr id="25" name="Agrupar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/>
      </xdr:nvGrpSpPr>
      <xdr:grpSpPr>
        <a:xfrm>
          <a:off x="14287" y="1099352"/>
          <a:ext cx="800100" cy="636227"/>
          <a:chOff x="14287" y="1108877"/>
          <a:chExt cx="800100" cy="636227"/>
        </a:xfrm>
      </xdr:grpSpPr>
      <xdr:pic>
        <xdr:nvPicPr>
          <xdr:cNvPr id="26" name="Gráfico 25" descr="Apresentação com gráfico de barras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98337" y="1108877"/>
            <a:ext cx="432000" cy="432000"/>
          </a:xfrm>
          <a:prstGeom prst="rect">
            <a:avLst/>
          </a:prstGeom>
        </xdr:spPr>
      </xdr:pic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287" y="1488687"/>
            <a:ext cx="800100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DASHBOARD</a:t>
            </a:r>
          </a:p>
        </xdr:txBody>
      </xdr:sp>
    </xdr:grpSp>
    <xdr:clientData/>
  </xdr:twoCellAnchor>
  <xdr:twoCellAnchor>
    <xdr:from>
      <xdr:col>0</xdr:col>
      <xdr:colOff>9525</xdr:colOff>
      <xdr:row>7</xdr:row>
      <xdr:rowOff>163926</xdr:rowOff>
    </xdr:from>
    <xdr:to>
      <xdr:col>0</xdr:col>
      <xdr:colOff>819150</xdr:colOff>
      <xdr:row>11</xdr:row>
      <xdr:rowOff>152020</xdr:rowOff>
    </xdr:to>
    <xdr:grpSp>
      <xdr:nvGrpSpPr>
        <xdr:cNvPr id="28" name="Agrupar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pSpPr/>
      </xdr:nvGrpSpPr>
      <xdr:grpSpPr>
        <a:xfrm>
          <a:off x="9525" y="2116551"/>
          <a:ext cx="809625" cy="750094"/>
          <a:chOff x="9525" y="2126076"/>
          <a:chExt cx="809625" cy="750094"/>
        </a:xfrm>
      </xdr:grpSpPr>
      <xdr:pic>
        <xdr:nvPicPr>
          <xdr:cNvPr id="29" name="Gráfico 28" descr="Manual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98337" y="2126076"/>
            <a:ext cx="432000" cy="432000"/>
          </a:xfrm>
          <a:prstGeom prst="rect">
            <a:avLst/>
          </a:prstGeom>
        </xdr:spPr>
      </xdr:pic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9525" y="2490408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TABELA</a:t>
            </a:r>
            <a:b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</a:br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DINÂMICA</a:t>
            </a:r>
          </a:p>
        </xdr:txBody>
      </xdr:sp>
    </xdr:grpSp>
    <xdr:clientData/>
  </xdr:twoCellAnchor>
  <xdr:twoCellAnchor>
    <xdr:from>
      <xdr:col>0</xdr:col>
      <xdr:colOff>4763</xdr:colOff>
      <xdr:row>18</xdr:row>
      <xdr:rowOff>56742</xdr:rowOff>
    </xdr:from>
    <xdr:to>
      <xdr:col>0</xdr:col>
      <xdr:colOff>823912</xdr:colOff>
      <xdr:row>21</xdr:row>
      <xdr:rowOff>109563</xdr:rowOff>
    </xdr:to>
    <xdr:grpSp>
      <xdr:nvGrpSpPr>
        <xdr:cNvPr id="31" name="Agrupar 3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pSpPr/>
      </xdr:nvGrpSpPr>
      <xdr:grpSpPr>
        <a:xfrm>
          <a:off x="4763" y="4104867"/>
          <a:ext cx="819149" cy="624321"/>
          <a:chOff x="4763" y="3257142"/>
          <a:chExt cx="819149" cy="624321"/>
        </a:xfrm>
      </xdr:grpSpPr>
      <xdr:pic>
        <xdr:nvPicPr>
          <xdr:cNvPr id="32" name="Gráfico 31" descr="Engrenagem única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98337" y="3257142"/>
            <a:ext cx="432000" cy="432000"/>
          </a:xfrm>
          <a:prstGeom prst="rect">
            <a:avLst/>
          </a:prstGeom>
        </xdr:spPr>
      </xdr:pic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4763" y="3625046"/>
            <a:ext cx="819149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AUXILIAR</a:t>
            </a:r>
            <a:endParaRPr lang="pt-BR" sz="1000" b="1">
              <a:solidFill>
                <a:schemeClr val="bg1"/>
              </a:solidFill>
              <a:latin typeface="Microsoft PhagsPa" panose="020B0502040204020203" pitchFamily="34" charset="0"/>
            </a:endParaRPr>
          </a:p>
        </xdr:txBody>
      </xdr:sp>
    </xdr:grpSp>
    <xdr:clientData/>
  </xdr:twoCellAnchor>
  <xdr:twoCellAnchor editAs="oneCell">
    <xdr:from>
      <xdr:col>4</xdr:col>
      <xdr:colOff>257175</xdr:colOff>
      <xdr:row>5</xdr:row>
      <xdr:rowOff>66675</xdr:rowOff>
    </xdr:from>
    <xdr:to>
      <xdr:col>7</xdr:col>
      <xdr:colOff>257175</xdr:colOff>
      <xdr:row>18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1638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28575</xdr:colOff>
      <xdr:row>13</xdr:row>
      <xdr:rowOff>85725</xdr:rowOff>
    </xdr:from>
    <xdr:to>
      <xdr:col>0</xdr:col>
      <xdr:colOff>838200</xdr:colOff>
      <xdr:row>17</xdr:row>
      <xdr:rowOff>70257</xdr:rowOff>
    </xdr:to>
    <xdr:grpSp>
      <xdr:nvGrpSpPr>
        <xdr:cNvPr id="5" name="Agrupar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28575" y="3181350"/>
          <a:ext cx="809625" cy="746532"/>
          <a:chOff x="26213" y="2944405"/>
          <a:chExt cx="809625" cy="746532"/>
        </a:xfrm>
      </xdr:grpSpPr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26213" y="3305175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RESULTADO</a:t>
            </a:r>
          </a:p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DIÁRIO</a:t>
            </a:r>
          </a:p>
        </xdr:txBody>
      </xdr:sp>
      <xdr:pic>
        <xdr:nvPicPr>
          <xdr:cNvPr id="8" name="Gráfico 7" descr="Dinheiro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228599" y="2944405"/>
            <a:ext cx="371475" cy="371475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1009650</xdr:colOff>
          <xdr:row>3</xdr:row>
          <xdr:rowOff>171450</xdr:rowOff>
        </xdr:from>
        <xdr:to>
          <xdr:col>4</xdr:col>
          <xdr:colOff>19050</xdr:colOff>
          <xdr:row>5</xdr:row>
          <xdr:rowOff>9525</xdr:rowOff>
        </xdr:to>
        <xdr:sp macro="" textlink="">
          <xdr:nvSpPr>
            <xdr:cNvPr id="6152" name="Spinner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3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absolute">
    <xdr:from>
      <xdr:col>5</xdr:col>
      <xdr:colOff>85725</xdr:colOff>
      <xdr:row>2</xdr:row>
      <xdr:rowOff>34031</xdr:rowOff>
    </xdr:from>
    <xdr:to>
      <xdr:col>5</xdr:col>
      <xdr:colOff>1087538</xdr:colOff>
      <xdr:row>2</xdr:row>
      <xdr:rowOff>466031</xdr:rowOff>
    </xdr:to>
    <xdr:grpSp>
      <xdr:nvGrpSpPr>
        <xdr:cNvPr id="3" name="Agrupar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3857625" y="34031"/>
          <a:ext cx="1001813" cy="432000"/>
          <a:chOff x="369787" y="0"/>
          <a:chExt cx="1001813" cy="432000"/>
        </a:xfrm>
      </xdr:grpSpPr>
      <xdr:pic>
        <xdr:nvPicPr>
          <xdr:cNvPr id="4" name="Gráfico 3" descr="Tabela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69787" y="0"/>
            <a:ext cx="432000" cy="432000"/>
          </a:xfrm>
          <a:prstGeom prst="rect">
            <a:avLst/>
          </a:prstGeom>
        </xdr:spPr>
      </xdr:pic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561975" y="87792"/>
            <a:ext cx="809625" cy="2564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BASE</a:t>
            </a:r>
          </a:p>
        </xdr:txBody>
      </xdr:sp>
    </xdr:grpSp>
    <xdr:clientData/>
  </xdr:twoCellAnchor>
  <xdr:twoCellAnchor editAs="absolute">
    <xdr:from>
      <xdr:col>5</xdr:col>
      <xdr:colOff>1166670</xdr:colOff>
      <xdr:row>2</xdr:row>
      <xdr:rowOff>34031</xdr:rowOff>
    </xdr:from>
    <xdr:to>
      <xdr:col>8</xdr:col>
      <xdr:colOff>239670</xdr:colOff>
      <xdr:row>2</xdr:row>
      <xdr:rowOff>466031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4938570" y="34031"/>
          <a:ext cx="1187550" cy="432000"/>
          <a:chOff x="1207987" y="3977"/>
          <a:chExt cx="1187550" cy="432000"/>
        </a:xfrm>
      </xdr:grpSpPr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207987" y="3977"/>
            <a:ext cx="432000" cy="432000"/>
          </a:xfrm>
          <a:prstGeom prst="rect">
            <a:avLst/>
          </a:prstGeom>
        </xdr:spPr>
      </xdr:pic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>
            <a:off x="1595437" y="91769"/>
            <a:ext cx="800100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DASHBOARD</a:t>
            </a:r>
          </a:p>
        </xdr:txBody>
      </xdr:sp>
    </xdr:grpSp>
    <xdr:clientData/>
  </xdr:twoCellAnchor>
  <xdr:twoCellAnchor editAs="absolute">
    <xdr:from>
      <xdr:col>8</xdr:col>
      <xdr:colOff>318802</xdr:colOff>
      <xdr:row>2</xdr:row>
      <xdr:rowOff>34031</xdr:rowOff>
    </xdr:from>
    <xdr:to>
      <xdr:col>9</xdr:col>
      <xdr:colOff>310965</xdr:colOff>
      <xdr:row>2</xdr:row>
      <xdr:rowOff>466031</xdr:rowOff>
    </xdr:to>
    <xdr:grpSp>
      <xdr:nvGrpSpPr>
        <xdr:cNvPr id="9" name="Agrupar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6205252" y="34031"/>
          <a:ext cx="1154213" cy="432000"/>
          <a:chOff x="2131912" y="0"/>
          <a:chExt cx="1154213" cy="432000"/>
        </a:xfrm>
      </xdr:grpSpPr>
      <xdr:pic>
        <xdr:nvPicPr>
          <xdr:cNvPr id="10" name="Gráfico 9" descr="Manual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131912" y="0"/>
            <a:ext cx="432000" cy="432000"/>
          </a:xfrm>
          <a:prstGeom prst="rect">
            <a:avLst/>
          </a:prstGeom>
        </xdr:spPr>
      </xdr:pic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/>
        </xdr:nvSpPr>
        <xdr:spPr>
          <a:xfrm>
            <a:off x="2476500" y="23119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TABELA</a:t>
            </a:r>
            <a:b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</a:br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DINÂMICA</a:t>
            </a:r>
          </a:p>
        </xdr:txBody>
      </xdr:sp>
    </xdr:grpSp>
    <xdr:clientData/>
  </xdr:twoCellAnchor>
  <xdr:twoCellAnchor editAs="absolute">
    <xdr:from>
      <xdr:col>10</xdr:col>
      <xdr:colOff>362092</xdr:colOff>
      <xdr:row>2</xdr:row>
      <xdr:rowOff>34031</xdr:rowOff>
    </xdr:from>
    <xdr:to>
      <xdr:col>11</xdr:col>
      <xdr:colOff>292342</xdr:colOff>
      <xdr:row>2</xdr:row>
      <xdr:rowOff>466031</xdr:rowOff>
    </xdr:to>
    <xdr:grpSp>
      <xdr:nvGrpSpPr>
        <xdr:cNvPr id="12" name="Agrupar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8572642" y="34031"/>
          <a:ext cx="1092300" cy="432000"/>
          <a:chOff x="2912962" y="28167"/>
          <a:chExt cx="1092300" cy="432000"/>
        </a:xfrm>
      </xdr:grpSpPr>
      <xdr:pic>
        <xdr:nvPicPr>
          <xdr:cNvPr id="13" name="Gráfico 12" descr="Engrenagem única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912962" y="28167"/>
            <a:ext cx="432000" cy="432000"/>
          </a:xfrm>
          <a:prstGeom prst="rect">
            <a:avLst/>
          </a:prstGeom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3186113" y="115959"/>
            <a:ext cx="819149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AUXILIAR</a:t>
            </a:r>
            <a:endParaRPr lang="pt-BR" sz="1000" b="1">
              <a:solidFill>
                <a:schemeClr val="bg1"/>
              </a:solidFill>
              <a:latin typeface="Microsoft PhagsPa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390097</xdr:colOff>
      <xdr:row>2</xdr:row>
      <xdr:rowOff>57150</xdr:rowOff>
    </xdr:from>
    <xdr:to>
      <xdr:col>10</xdr:col>
      <xdr:colOff>282960</xdr:colOff>
      <xdr:row>2</xdr:row>
      <xdr:rowOff>442912</xdr:rowOff>
    </xdr:to>
    <xdr:grpSp>
      <xdr:nvGrpSpPr>
        <xdr:cNvPr id="25" name="Agrupar 2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pSpPr/>
      </xdr:nvGrpSpPr>
      <xdr:grpSpPr>
        <a:xfrm>
          <a:off x="7438597" y="57150"/>
          <a:ext cx="1054913" cy="385762"/>
          <a:chOff x="7312800" y="85725"/>
          <a:chExt cx="1054913" cy="385762"/>
        </a:xfrm>
      </xdr:grpSpPr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 txBox="1"/>
        </xdr:nvSpPr>
        <xdr:spPr>
          <a:xfrm>
            <a:off x="7558088" y="85725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RESULTADO</a:t>
            </a:r>
          </a:p>
          <a:p>
            <a:pPr algn="l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DIÁRIO</a:t>
            </a:r>
          </a:p>
        </xdr:txBody>
      </xdr:sp>
      <xdr:pic>
        <xdr:nvPicPr>
          <xdr:cNvPr id="24" name="Gráfico 23" descr="Dinheiro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7312800" y="134531"/>
            <a:ext cx="288150" cy="28815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22</xdr:row>
      <xdr:rowOff>104775</xdr:rowOff>
    </xdr:from>
    <xdr:to>
      <xdr:col>0</xdr:col>
      <xdr:colOff>790575</xdr:colOff>
      <xdr:row>25</xdr:row>
      <xdr:rowOff>95250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76200" y="4162425"/>
          <a:ext cx="714375" cy="619125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9525</xdr:colOff>
      <xdr:row>4</xdr:row>
      <xdr:rowOff>0</xdr:rowOff>
    </xdr:from>
    <xdr:to>
      <xdr:col>0</xdr:col>
      <xdr:colOff>819150</xdr:colOff>
      <xdr:row>6</xdr:row>
      <xdr:rowOff>156405</xdr:rowOff>
    </xdr:to>
    <xdr:grpSp>
      <xdr:nvGrpSpPr>
        <xdr:cNvPr id="18" name="Agrupar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9525" y="215348"/>
          <a:ext cx="809625" cy="587100"/>
          <a:chOff x="9525" y="133350"/>
          <a:chExt cx="809625" cy="594555"/>
        </a:xfrm>
      </xdr:grpSpPr>
      <xdr:pic>
        <xdr:nvPicPr>
          <xdr:cNvPr id="19" name="Gráfico 18" descr="Tabela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98337" y="133350"/>
            <a:ext cx="432000" cy="432000"/>
          </a:xfrm>
          <a:prstGeom prst="rect">
            <a:avLst/>
          </a:prstGeom>
        </xdr:spPr>
      </xdr:pic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 txBox="1"/>
        </xdr:nvSpPr>
        <xdr:spPr>
          <a:xfrm>
            <a:off x="9525" y="471488"/>
            <a:ext cx="809625" cy="2564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BASE</a:t>
            </a:r>
          </a:p>
        </xdr:txBody>
      </xdr:sp>
    </xdr:grpSp>
    <xdr:clientData/>
  </xdr:twoCellAnchor>
  <xdr:twoCellAnchor>
    <xdr:from>
      <xdr:col>0</xdr:col>
      <xdr:colOff>14287</xdr:colOff>
      <xdr:row>8</xdr:row>
      <xdr:rowOff>99227</xdr:rowOff>
    </xdr:from>
    <xdr:to>
      <xdr:col>0</xdr:col>
      <xdr:colOff>814387</xdr:colOff>
      <xdr:row>11</xdr:row>
      <xdr:rowOff>78229</xdr:rowOff>
    </xdr:to>
    <xdr:grpSp>
      <xdr:nvGrpSpPr>
        <xdr:cNvPr id="21" name="Agrupar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pSpPr/>
      </xdr:nvGrpSpPr>
      <xdr:grpSpPr>
        <a:xfrm>
          <a:off x="14287" y="1175966"/>
          <a:ext cx="800100" cy="625046"/>
          <a:chOff x="14287" y="1108877"/>
          <a:chExt cx="800100" cy="636227"/>
        </a:xfrm>
      </xdr:grpSpPr>
      <xdr:pic>
        <xdr:nvPicPr>
          <xdr:cNvPr id="22" name="Gráfico 21" descr="Apresentação com gráfico de barras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98337" y="1108877"/>
            <a:ext cx="432000" cy="432000"/>
          </a:xfrm>
          <a:prstGeom prst="rect">
            <a:avLst/>
          </a:prstGeom>
        </xdr:spPr>
      </xdr:pic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>
            <a:off x="14287" y="1488687"/>
            <a:ext cx="800100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DASHBOARD</a:t>
            </a:r>
          </a:p>
        </xdr:txBody>
      </xdr:sp>
    </xdr:grpSp>
    <xdr:clientData/>
  </xdr:twoCellAnchor>
  <xdr:twoCellAnchor>
    <xdr:from>
      <xdr:col>0</xdr:col>
      <xdr:colOff>9525</xdr:colOff>
      <xdr:row>13</xdr:row>
      <xdr:rowOff>40101</xdr:rowOff>
    </xdr:from>
    <xdr:to>
      <xdr:col>0</xdr:col>
      <xdr:colOff>819150</xdr:colOff>
      <xdr:row>16</xdr:row>
      <xdr:rowOff>161545</xdr:rowOff>
    </xdr:to>
    <xdr:grpSp>
      <xdr:nvGrpSpPr>
        <xdr:cNvPr id="24" name="Agrupar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9525" y="2193579"/>
          <a:ext cx="809625" cy="767488"/>
          <a:chOff x="9525" y="2126076"/>
          <a:chExt cx="809625" cy="750094"/>
        </a:xfrm>
      </xdr:grpSpPr>
      <xdr:pic>
        <xdr:nvPicPr>
          <xdr:cNvPr id="25" name="Gráfico 24" descr="Manual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98337" y="2126076"/>
            <a:ext cx="432000" cy="432000"/>
          </a:xfrm>
          <a:prstGeom prst="rect">
            <a:avLst/>
          </a:prstGeom>
        </xdr:spPr>
      </xdr:pic>
      <xdr:sp macro="" textlink="">
        <xdr:nvSpPr>
          <xdr:cNvPr id="26" name="CaixaDeTexto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 txBox="1"/>
        </xdr:nvSpPr>
        <xdr:spPr>
          <a:xfrm>
            <a:off x="9525" y="2490408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TABELA</a:t>
            </a:r>
            <a:b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</a:br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DINÂMICA</a:t>
            </a:r>
          </a:p>
        </xdr:txBody>
      </xdr:sp>
    </xdr:grpSp>
    <xdr:clientData/>
  </xdr:twoCellAnchor>
  <xdr:twoCellAnchor>
    <xdr:from>
      <xdr:col>0</xdr:col>
      <xdr:colOff>4763</xdr:colOff>
      <xdr:row>22</xdr:row>
      <xdr:rowOff>104367</xdr:rowOff>
    </xdr:from>
    <xdr:to>
      <xdr:col>0</xdr:col>
      <xdr:colOff>823912</xdr:colOff>
      <xdr:row>25</xdr:row>
      <xdr:rowOff>100038</xdr:rowOff>
    </xdr:to>
    <xdr:grpSp>
      <xdr:nvGrpSpPr>
        <xdr:cNvPr id="27" name="Agrupar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pSpPr/>
      </xdr:nvGrpSpPr>
      <xdr:grpSpPr>
        <a:xfrm>
          <a:off x="4763" y="4195976"/>
          <a:ext cx="819149" cy="641714"/>
          <a:chOff x="4763" y="3257142"/>
          <a:chExt cx="819149" cy="624321"/>
        </a:xfrm>
      </xdr:grpSpPr>
      <xdr:pic>
        <xdr:nvPicPr>
          <xdr:cNvPr id="28" name="Gráfico 27" descr="Engrenagem única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98337" y="3257142"/>
            <a:ext cx="432000" cy="432000"/>
          </a:xfrm>
          <a:prstGeom prst="rect">
            <a:avLst/>
          </a:prstGeom>
        </xdr:spPr>
      </xdr:pic>
      <xdr:sp macro="" textlink="">
        <xdr:nvSpPr>
          <xdr:cNvPr id="29" name="CaixaDeTexto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 txBox="1"/>
        </xdr:nvSpPr>
        <xdr:spPr>
          <a:xfrm>
            <a:off x="4763" y="3625046"/>
            <a:ext cx="819149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AUXILIAR</a:t>
            </a:r>
            <a:endParaRPr lang="pt-BR" sz="1000" b="1">
              <a:solidFill>
                <a:schemeClr val="bg1"/>
              </a:solidFill>
              <a:latin typeface="Microsoft PhagsPa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27</xdr:row>
      <xdr:rowOff>61912</xdr:rowOff>
    </xdr:from>
    <xdr:to>
      <xdr:col>0</xdr:col>
      <xdr:colOff>828675</xdr:colOff>
      <xdr:row>30</xdr:row>
      <xdr:rowOff>127830</xdr:rowOff>
    </xdr:to>
    <xdr:grpSp>
      <xdr:nvGrpSpPr>
        <xdr:cNvPr id="30" name="Agrupar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pSpPr/>
      </xdr:nvGrpSpPr>
      <xdr:grpSpPr>
        <a:xfrm>
          <a:off x="0" y="5230260"/>
          <a:ext cx="828675" cy="695396"/>
          <a:chOff x="0" y="4262437"/>
          <a:chExt cx="828675" cy="694568"/>
        </a:xfrm>
      </xdr:grpSpPr>
      <xdr:pic>
        <xdr:nvPicPr>
          <xdr:cNvPr id="31" name="Gráfico 30" descr="Lâmpada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198337" y="4262437"/>
            <a:ext cx="432000" cy="432000"/>
          </a:xfrm>
          <a:prstGeom prst="rect">
            <a:avLst/>
          </a:prstGeom>
        </xdr:spPr>
      </xdr:pic>
      <xdr:sp macro="" textlink="">
        <xdr:nvSpPr>
          <xdr:cNvPr id="32" name="CaixaDeTexto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 txBox="1"/>
        </xdr:nvSpPr>
        <xdr:spPr>
          <a:xfrm>
            <a:off x="0" y="4700588"/>
            <a:ext cx="828675" cy="2564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INFO</a:t>
            </a:r>
          </a:p>
        </xdr:txBody>
      </xdr:sp>
    </xdr:grpSp>
    <xdr:clientData/>
  </xdr:twoCellAnchor>
  <xdr:twoCellAnchor>
    <xdr:from>
      <xdr:col>37</xdr:col>
      <xdr:colOff>390525</xdr:colOff>
      <xdr:row>3</xdr:row>
      <xdr:rowOff>123825</xdr:rowOff>
    </xdr:from>
    <xdr:to>
      <xdr:col>43</xdr:col>
      <xdr:colOff>200025</xdr:colOff>
      <xdr:row>25</xdr:row>
      <xdr:rowOff>47625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544175" y="123825"/>
          <a:ext cx="3467100" cy="4610100"/>
        </a:xfrm>
        <a:prstGeom prst="roundRect">
          <a:avLst/>
        </a:prstGeom>
        <a:solidFill>
          <a:schemeClr val="tx1"/>
        </a:solidFill>
        <a:ln w="571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1">
              <a:solidFill>
                <a:srgbClr val="C00000"/>
              </a:solidFill>
            </a:rPr>
            <a:t>ATENÇÃO</a:t>
          </a:r>
        </a:p>
        <a:p>
          <a:pPr algn="l"/>
          <a:endParaRPr lang="pt-BR" sz="1100"/>
        </a:p>
        <a:p>
          <a:pPr algn="l"/>
          <a:r>
            <a:rPr lang="pt-BR" sz="1400"/>
            <a:t>Nesta</a:t>
          </a:r>
          <a:r>
            <a:rPr lang="pt-BR" sz="1400" baseline="0"/>
            <a:t> guia, existem linhas e colunas ocultas, que alimentam todo o DashBoard.</a:t>
          </a:r>
        </a:p>
        <a:p>
          <a:pPr algn="l"/>
          <a:endParaRPr lang="pt-BR" sz="1400" baseline="0"/>
        </a:p>
        <a:p>
          <a:pPr algn="l"/>
          <a:r>
            <a:rPr lang="pt-BR" sz="1400" baseline="0"/>
            <a:t>Quando for Cadastrar ou Alterar novas categorias, Cuidado para </a:t>
          </a:r>
          <a:r>
            <a:rPr lang="pt-BR" sz="1400" b="1" baseline="0">
              <a:solidFill>
                <a:srgbClr val="C00000"/>
              </a:solidFill>
            </a:rPr>
            <a:t>NÃO</a:t>
          </a:r>
          <a:r>
            <a:rPr lang="pt-BR" sz="1400" baseline="0"/>
            <a:t> arrastar, recortar ou excluir linhas, pois isso pode desconfigurar a Tabela e gerar erros nos cálculos.</a:t>
          </a:r>
          <a:br>
            <a:rPr lang="pt-BR" sz="1400" baseline="0"/>
          </a:br>
          <a:br>
            <a:rPr lang="pt-BR" sz="1400" baseline="0"/>
          </a:br>
          <a:r>
            <a:rPr lang="pt-BR" sz="1400" baseline="0"/>
            <a:t>Novas Categorias devem ser Digitadas. Se precisar mudar uma Categoria de "posição", sugerimos usar a ferramenta de Classificar do Excel, ou apenas apagar/digitar o nome por cima, mas nunca recortar uma linha e colar abaixo ou acima.</a:t>
          </a:r>
          <a:endParaRPr lang="pt-BR" sz="1400"/>
        </a:p>
      </xdr:txBody>
    </xdr:sp>
    <xdr:clientData/>
  </xdr:twoCellAnchor>
  <xdr:twoCellAnchor>
    <xdr:from>
      <xdr:col>0</xdr:col>
      <xdr:colOff>9525</xdr:colOff>
      <xdr:row>17</xdr:row>
      <xdr:rowOff>161925</xdr:rowOff>
    </xdr:from>
    <xdr:to>
      <xdr:col>0</xdr:col>
      <xdr:colOff>819150</xdr:colOff>
      <xdr:row>21</xdr:row>
      <xdr:rowOff>70257</xdr:rowOff>
    </xdr:to>
    <xdr:grpSp>
      <xdr:nvGrpSpPr>
        <xdr:cNvPr id="3" name="Agrupar 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9525" y="3176795"/>
          <a:ext cx="809625" cy="769723"/>
          <a:chOff x="26213" y="2944405"/>
          <a:chExt cx="809625" cy="746532"/>
        </a:xfrm>
      </xdr:grpSpPr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26213" y="3305175"/>
            <a:ext cx="809625" cy="3857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RESULTADO</a:t>
            </a:r>
          </a:p>
          <a:p>
            <a:pPr algn="ctr"/>
            <a:r>
              <a:rPr lang="pt-BR" sz="800" b="1">
                <a:solidFill>
                  <a:schemeClr val="bg1"/>
                </a:solidFill>
                <a:latin typeface="Microsoft PhagsPa" panose="020B0502040204020203" pitchFamily="34" charset="0"/>
              </a:rPr>
              <a:t>DIÁRIO</a:t>
            </a:r>
          </a:p>
        </xdr:txBody>
      </xdr:sp>
      <xdr:pic>
        <xdr:nvPicPr>
          <xdr:cNvPr id="5" name="Gráfico 4" descr="Dinheiro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228599" y="2944405"/>
            <a:ext cx="371475" cy="371475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ne" refreshedDate="45604.74896203704" missingItemsLimit="0" createdVersion="6" refreshedVersion="8" minRefreshableVersion="3" recordCount="190" xr:uid="{35228AFB-DE6F-403B-8915-0C624529D0C3}">
  <cacheSource type="worksheet">
    <worksheetSource name="Tab_Base"/>
  </cacheSource>
  <cacheFields count="7">
    <cacheField name="Data" numFmtId="14">
      <sharedItems containsNonDate="0" containsDate="1" containsString="0" containsBlank="1" minDate="2024-10-08T00:00:00" maxDate="2024-11-09T00:00:00" count="9">
        <d v="2024-10-08T00:00:00"/>
        <d v="2024-10-09T00:00:00"/>
        <d v="2024-10-10T00:00:00"/>
        <d v="2024-10-11T00:00:00"/>
        <d v="2024-10-14T00:00:00"/>
        <d v="2024-10-18T00:00:00"/>
        <d v="2024-10-22T00:00:00"/>
        <d v="2024-11-08T00:00:00"/>
        <m/>
      </sharedItems>
    </cacheField>
    <cacheField name="Tipo" numFmtId="0">
      <sharedItems containsBlank="1" count="3">
        <s v="Entrada"/>
        <s v="Saída"/>
        <m/>
      </sharedItems>
    </cacheField>
    <cacheField name="Categoria" numFmtId="0">
      <sharedItems containsBlank="1" count="14">
        <s v="Salário"/>
        <s v="Fatura Cartão"/>
        <s v="Pix Anderson"/>
        <s v="Internet"/>
        <s v="Parcela CNH"/>
        <s v="Caixinha Faculdade"/>
        <s v="Juliana Bofi - Clínica Dentista"/>
        <s v="Investimento CDB"/>
        <s v="Mercado"/>
        <s v="Cantina Microlins"/>
        <s v="Cabelo"/>
        <s v="Resgate RDB"/>
        <s v="Outros"/>
        <m/>
      </sharedItems>
    </cacheField>
    <cacheField name="Descrição" numFmtId="0">
      <sharedItems containsBlank="1" count="15">
        <s v="R$2.500,00 - FGTS descontado"/>
        <m/>
        <s v="Parcela 6/8"/>
        <s v="R$109,90 - Desconto"/>
        <s v="Última parcela da carta"/>
        <s v="Última parcela da clínica"/>
        <s v="Horário de janta trabalho"/>
        <s v="Café da manhã"/>
        <s v="Corte de cabelo"/>
        <s v="Caixinha da faculdade"/>
        <s v="Adiantei pagar essa fatura que ainda não fechou"/>
        <s v="Pix pra testar se funcionava"/>
        <s v="São Paulo - Algo para comer"/>
        <s v="Pix do Anderson. 07º parcela"/>
        <s v="Fatura fechada do mês de outubro"/>
      </sharedItems>
    </cacheField>
    <cacheField name="Valor" numFmtId="44">
      <sharedItems containsString="0" containsBlank="1" containsNumber="1" minValue="1" maxValue="2296"/>
    </cacheField>
    <cacheField name="Mês" numFmtId="0">
      <sharedItems containsMixedTypes="1" containsNumber="1" containsInteger="1" minValue="10" maxValue="11"/>
    </cacheField>
    <cacheField name="Ano" numFmtId="0">
      <sharedItems containsMixedTypes="1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 pivotCacheId="13029998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x v="0"/>
    <n v="2296"/>
    <n v="10"/>
    <n v="2024"/>
  </r>
  <r>
    <x v="0"/>
    <x v="1"/>
    <x v="1"/>
    <x v="1"/>
    <n v="785.96"/>
    <n v="10"/>
    <n v="2024"/>
  </r>
  <r>
    <x v="0"/>
    <x v="1"/>
    <x v="2"/>
    <x v="2"/>
    <n v="200"/>
    <n v="10"/>
    <n v="2024"/>
  </r>
  <r>
    <x v="0"/>
    <x v="1"/>
    <x v="3"/>
    <x v="3"/>
    <n v="99.9"/>
    <n v="10"/>
    <n v="2024"/>
  </r>
  <r>
    <x v="0"/>
    <x v="1"/>
    <x v="4"/>
    <x v="4"/>
    <n v="388"/>
    <n v="10"/>
    <n v="2024"/>
  </r>
  <r>
    <x v="0"/>
    <x v="1"/>
    <x v="5"/>
    <x v="1"/>
    <n v="50"/>
    <n v="10"/>
    <n v="2024"/>
  </r>
  <r>
    <x v="0"/>
    <x v="1"/>
    <x v="6"/>
    <x v="5"/>
    <n v="320"/>
    <n v="10"/>
    <n v="2024"/>
  </r>
  <r>
    <x v="0"/>
    <x v="1"/>
    <x v="7"/>
    <x v="1"/>
    <n v="330"/>
    <n v="10"/>
    <n v="2024"/>
  </r>
  <r>
    <x v="0"/>
    <x v="1"/>
    <x v="8"/>
    <x v="6"/>
    <n v="5.5"/>
    <n v="10"/>
    <n v="2024"/>
  </r>
  <r>
    <x v="1"/>
    <x v="1"/>
    <x v="9"/>
    <x v="6"/>
    <n v="2.5"/>
    <n v="10"/>
    <n v="2024"/>
  </r>
  <r>
    <x v="1"/>
    <x v="1"/>
    <x v="9"/>
    <x v="6"/>
    <n v="2"/>
    <n v="10"/>
    <n v="2024"/>
  </r>
  <r>
    <x v="2"/>
    <x v="1"/>
    <x v="8"/>
    <x v="7"/>
    <n v="28.28"/>
    <n v="10"/>
    <n v="2024"/>
  </r>
  <r>
    <x v="3"/>
    <x v="1"/>
    <x v="10"/>
    <x v="8"/>
    <n v="50"/>
    <n v="10"/>
    <n v="2024"/>
  </r>
  <r>
    <x v="3"/>
    <x v="0"/>
    <x v="11"/>
    <x v="9"/>
    <n v="354.49"/>
    <n v="10"/>
    <n v="2024"/>
  </r>
  <r>
    <x v="3"/>
    <x v="1"/>
    <x v="1"/>
    <x v="10"/>
    <n v="371.76"/>
    <n v="10"/>
    <n v="2024"/>
  </r>
  <r>
    <x v="4"/>
    <x v="1"/>
    <x v="12"/>
    <x v="11"/>
    <n v="1"/>
    <n v="10"/>
    <n v="2024"/>
  </r>
  <r>
    <x v="5"/>
    <x v="1"/>
    <x v="8"/>
    <x v="12"/>
    <n v="11"/>
    <n v="10"/>
    <n v="2024"/>
  </r>
  <r>
    <x v="6"/>
    <x v="1"/>
    <x v="9"/>
    <x v="1"/>
    <n v="2.5"/>
    <n v="10"/>
    <n v="2024"/>
  </r>
  <r>
    <x v="7"/>
    <x v="0"/>
    <x v="0"/>
    <x v="1"/>
    <n v="2296"/>
    <n v="11"/>
    <n v="2024"/>
  </r>
  <r>
    <x v="7"/>
    <x v="1"/>
    <x v="12"/>
    <x v="13"/>
    <n v="200"/>
    <n v="11"/>
    <n v="2024"/>
  </r>
  <r>
    <x v="7"/>
    <x v="1"/>
    <x v="1"/>
    <x v="14"/>
    <n v="1975.23"/>
    <n v="11"/>
    <n v="2024"/>
  </r>
  <r>
    <x v="7"/>
    <x v="1"/>
    <x v="3"/>
    <x v="1"/>
    <n v="99.9"/>
    <n v="11"/>
    <n v="2024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  <r>
    <x v="8"/>
    <x v="2"/>
    <x v="13"/>
    <x v="1"/>
    <m/>
    <s v="-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F2C5B-7F57-4505-ACAE-37F467CDE132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rowHeaderCaption="Centros de Custo">
  <location ref="B3:C34" firstHeaderRow="1" firstDataRow="1" firstDataCol="1"/>
  <pivotFields count="7"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6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</pivotFields>
  <rowFields count="2">
    <field x="2"/>
    <field x="3"/>
  </rowFields>
  <rowItems count="31">
    <i>
      <x v="1"/>
    </i>
    <i r="1">
      <x v="1"/>
    </i>
    <i>
      <x v="2"/>
    </i>
    <i r="1">
      <x/>
    </i>
    <i r="1">
      <x v="10"/>
    </i>
    <i>
      <x v="3"/>
    </i>
    <i r="1">
      <x v="2"/>
    </i>
    <i>
      <x v="4"/>
    </i>
    <i r="1">
      <x v="3"/>
    </i>
    <i>
      <x v="5"/>
    </i>
    <i r="1">
      <x v="4"/>
    </i>
    <i>
      <x v="6"/>
    </i>
    <i r="1">
      <x/>
    </i>
    <i>
      <x v="7"/>
    </i>
    <i r="1">
      <x v="5"/>
    </i>
    <i>
      <x v="8"/>
    </i>
    <i r="1">
      <x/>
    </i>
    <i>
      <x v="9"/>
    </i>
    <i r="1">
      <x v="6"/>
    </i>
    <i r="1">
      <x v="7"/>
    </i>
    <i r="1">
      <x v="12"/>
    </i>
    <i>
      <x v="10"/>
    </i>
    <i r="1">
      <x/>
    </i>
    <i r="1">
      <x v="6"/>
    </i>
    <i>
      <x v="11"/>
    </i>
    <i r="1">
      <x v="8"/>
    </i>
    <i>
      <x v="12"/>
    </i>
    <i r="1">
      <x v="9"/>
    </i>
    <i>
      <x v="13"/>
    </i>
    <i r="1">
      <x v="11"/>
    </i>
    <i t="grand">
      <x/>
    </i>
  </rowItems>
  <colItems count="1">
    <i/>
  </colItems>
  <dataFields count="1">
    <dataField name="Soma de Valor" fld="4" baseField="2" baseItem="0" numFmtId="44"/>
  </dataFields>
  <pivotTableStyleInfo name="PivotStyleMedium8" showRowHeaders="1" showColHeaders="1" showRowStripes="0" showColStripes="0" showLastColumn="1"/>
  <filters count="1">
    <filter fld="0" type="dateBetween" evalOrder="-1" id="36" name="Data">
      <autoFilter ref="A1">
        <filterColumn colId="0">
          <customFilters and="1">
            <customFilter operator="greaterThanOrEqual" val="45566"/>
            <customFilter operator="lessThanOrEqual" val="455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DE82DAD6-5D43-4A22-B073-28D764D7C56D}" sourceName="Tipo">
  <pivotTables>
    <pivotTable tabId="6" name="Tabela dinâmica1"/>
  </pivotTables>
  <data>
    <tabular pivotCacheId="1302999839">
      <items count="3">
        <i x="0" s="1"/>
        <i x="1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15ACB19C-2FE2-40FB-992E-1E45FA35E6A2}" sourceName="Categoria">
  <pivotTables>
    <pivotTable tabId="6" name="Tabela dinâmica1"/>
  </pivotTables>
  <data>
    <tabular pivotCacheId="1302999839">
      <items count="14">
        <i x="10" s="1"/>
        <i x="5" s="1"/>
        <i x="9" s="1"/>
        <i x="1" s="1"/>
        <i x="3" s="1"/>
        <i x="7" s="1"/>
        <i x="6" s="1"/>
        <i x="8" s="1"/>
        <i x="12" s="1"/>
        <i x="4" s="1"/>
        <i x="2" s="1"/>
        <i x="11" s="1"/>
        <i x="0" s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" xr10:uid="{608B5DA6-8C1C-48CE-A2C6-31F7C9F71461}" cache="SegmentaçãodeDados_Tipo" caption="Tipo" rowHeight="241300"/>
  <slicer name="Categoria" xr10:uid="{254C42A8-3305-4E50-BCB7-5B53EC124C5A}" cache="SegmentaçãodeDados_Categoria" caption="Categori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A8594-6DC2-464F-A7A7-A91464FEC131}" name="Tab_Base" displayName="Tab_Base" ref="B5:H195" totalsRowShown="0" headerRowDxfId="55" dataDxfId="54" tableBorderDxfId="53">
  <autoFilter ref="B5:H195" xr:uid="{3088B915-DBCD-461F-B453-ECDFFF9E1C2E}"/>
  <sortState xmlns:xlrd2="http://schemas.microsoft.com/office/spreadsheetml/2017/richdata2" ref="B6:H195">
    <sortCondition ref="B5:B195"/>
  </sortState>
  <tableColumns count="7">
    <tableColumn id="1" xr3:uid="{8E01A9BE-2616-42E9-9276-8070E43398CA}" name="Data" dataDxfId="52"/>
    <tableColumn id="2" xr3:uid="{3A2160B8-49D0-4BE4-BE98-930763F89F81}" name="Tipo" dataDxfId="51"/>
    <tableColumn id="3" xr3:uid="{4A32A59A-1A9B-46A5-BEDB-75E0B104BDCB}" name="Categoria" dataDxfId="50"/>
    <tableColumn id="4" xr3:uid="{726D5599-75E7-484C-B908-4AB2FA9EF750}" name="Descrição" dataDxfId="49"/>
    <tableColumn id="5" xr3:uid="{40EA14D5-A1EE-4C6F-AF71-6D64C4AC1465}" name="Valor" dataDxfId="48"/>
    <tableColumn id="8" xr3:uid="{CDE8BA63-120E-4B20-A25C-CF4D4F3CA4C4}" name="Mês" dataDxfId="47">
      <calculatedColumnFormula>IF(Tab_Base[[#This Row],[Data]]&lt;&gt;"",MONTH(Tab_Base[[#This Row],[Data]]),"-")</calculatedColumnFormula>
    </tableColumn>
    <tableColumn id="9" xr3:uid="{8EEC12AA-C1BA-49A6-A2D9-27D978752105}" name="Ano" dataDxfId="46">
      <calculatedColumnFormula>IF(Tab_Base[[#This Row],[Data]]&lt;&gt;"",YEAR(Tab_Base[[#This Row],[Data]]),"-")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BB1C8A-8B82-443C-9EBD-BD6CE9E87C09}" name="tb_saidas" displayName="tb_saidas" ref="B4:P28" totalsRowShown="0" headerRowDxfId="45" dataDxfId="43" headerRowBorderDxfId="44" tableBorderDxfId="42" totalsRowBorderDxfId="41">
  <autoFilter ref="B4:P28" xr:uid="{BEBB1C8A-8B82-443C-9EBD-BD6CE9E87C09}"/>
  <sortState xmlns:xlrd2="http://schemas.microsoft.com/office/spreadsheetml/2017/richdata2" ref="B5:P28">
    <sortCondition ref="B4:B28"/>
  </sortState>
  <tableColumns count="15">
    <tableColumn id="1" xr3:uid="{F3388C5A-67C4-4EAA-9967-51C86B44C4D4}" name="Saídas" dataDxfId="40"/>
    <tableColumn id="2" xr3:uid="{35C8D69C-331F-425D-B925-FF01F3415505}" name="Janeiro" dataDxfId="39">
      <calculatedColumnFormula>SUMIFS(Tab_Base[[Valor]:[Valor]],Tab_Base[[Categoria]:[Categoria]],$B5,Tab_Base[[Mês]:[Mês]],C$3,Tab_Base[[Ano]:[Ano]],$B$3,Tab_Base[[Tipo]:[Tipo]],"Saída")</calculatedColumnFormula>
    </tableColumn>
    <tableColumn id="3" xr3:uid="{57764929-6341-453F-8FFC-16CF21BCEBD5}" name="Fevereiro" dataDxfId="38">
      <calculatedColumnFormula>SUMIFS(Tab_Base[[Valor]:[Valor]],Tab_Base[[Categoria]:[Categoria]],$B5,Tab_Base[[Mês]:[Mês]],D$3,Tab_Base[[Ano]:[Ano]],$B$3,Tab_Base[[Tipo]:[Tipo]],"Saída")</calculatedColumnFormula>
    </tableColumn>
    <tableColumn id="4" xr3:uid="{1E2F9BE9-539B-4AFB-8661-6F542695B03C}" name="Março" dataDxfId="37">
      <calculatedColumnFormula>SUMIFS(Tab_Base[[Valor]:[Valor]],Tab_Base[[Categoria]:[Categoria]],$B5,Tab_Base[[Mês]:[Mês]],E$3,Tab_Base[[Ano]:[Ano]],$B$3,Tab_Base[[Tipo]:[Tipo]],"Saída")</calculatedColumnFormula>
    </tableColumn>
    <tableColumn id="5" xr3:uid="{B14DEE67-4EFE-4FCF-9FF7-978A2D2EE3C9}" name="Abril" dataDxfId="36">
      <calculatedColumnFormula>SUMIFS(Tab_Base[[Valor]:[Valor]],Tab_Base[[Categoria]:[Categoria]],$B5,Tab_Base[[Mês]:[Mês]],F$3,Tab_Base[[Ano]:[Ano]],$B$3,Tab_Base[[Tipo]:[Tipo]],"Saída")</calculatedColumnFormula>
    </tableColumn>
    <tableColumn id="6" xr3:uid="{2498FCDE-E53C-417A-8CD0-80EA4D3D6B9F}" name="Maio" dataDxfId="35">
      <calculatedColumnFormula>SUMIFS(Tab_Base[[Valor]:[Valor]],Tab_Base[[Categoria]:[Categoria]],$B5,Tab_Base[[Mês]:[Mês]],G$3,Tab_Base[[Ano]:[Ano]],$B$3,Tab_Base[[Tipo]:[Tipo]],"Saída")</calculatedColumnFormula>
    </tableColumn>
    <tableColumn id="7" xr3:uid="{B13EEA13-6EF7-4A7A-823F-4279048FEB3E}" name="Junho" dataDxfId="34">
      <calculatedColumnFormula>SUMIFS(Tab_Base[[Valor]:[Valor]],Tab_Base[[Categoria]:[Categoria]],$B5,Tab_Base[[Mês]:[Mês]],H$3,Tab_Base[[Ano]:[Ano]],$B$3,Tab_Base[[Tipo]:[Tipo]],"Saída")</calculatedColumnFormula>
    </tableColumn>
    <tableColumn id="8" xr3:uid="{1866B135-313F-4972-B987-8BBACE980EF8}" name="Julho" dataDxfId="33">
      <calculatedColumnFormula>SUMIFS(Tab_Base[[Valor]:[Valor]],Tab_Base[[Categoria]:[Categoria]],$B5,Tab_Base[[Mês]:[Mês]],I$3,Tab_Base[[Ano]:[Ano]],$B$3,Tab_Base[[Tipo]:[Tipo]],"Saída")</calculatedColumnFormula>
    </tableColumn>
    <tableColumn id="9" xr3:uid="{1383BB61-1D02-476C-943B-C3978FEB108F}" name="Agosto" dataDxfId="32">
      <calculatedColumnFormula>SUMIFS(Tab_Base[[Valor]:[Valor]],Tab_Base[[Categoria]:[Categoria]],$B5,Tab_Base[[Mês]:[Mês]],J$3,Tab_Base[[Ano]:[Ano]],$B$3,Tab_Base[[Tipo]:[Tipo]],"Saída")</calculatedColumnFormula>
    </tableColumn>
    <tableColumn id="10" xr3:uid="{9CEE054B-D79E-4EF1-B130-75AD9A908D78}" name="Setembro" dataDxfId="31">
      <calculatedColumnFormula>SUMIFS(Tab_Base[[Valor]:[Valor]],Tab_Base[[Categoria]:[Categoria]],$B5,Tab_Base[[Mês]:[Mês]],K$3,Tab_Base[[Ano]:[Ano]],$B$3,Tab_Base[[Tipo]:[Tipo]],"Saída")</calculatedColumnFormula>
    </tableColumn>
    <tableColumn id="11" xr3:uid="{9DD8AA18-0825-4112-BA4B-5ECB7291A349}" name="Outubro" dataDxfId="30">
      <calculatedColumnFormula>SUMIFS(Tab_Base[[Valor]:[Valor]],Tab_Base[[Categoria]:[Categoria]],$B5,Tab_Base[[Mês]:[Mês]],L$3,Tab_Base[[Ano]:[Ano]],$B$3,Tab_Base[[Tipo]:[Tipo]],"Saída")</calculatedColumnFormula>
    </tableColumn>
    <tableColumn id="12" xr3:uid="{EC12B4AC-E532-4EB4-B03D-52460D70A763}" name="Novembro" dataDxfId="29">
      <calculatedColumnFormula>SUMIFS(Tab_Base[[Valor]:[Valor]],Tab_Base[[Categoria]:[Categoria]],$B5,Tab_Base[[Mês]:[Mês]],M$3,Tab_Base[[Ano]:[Ano]],$B$3,Tab_Base[[Tipo]:[Tipo]],"Saída")</calculatedColumnFormula>
    </tableColumn>
    <tableColumn id="13" xr3:uid="{270F2A34-1123-4F0A-9DCC-3386A8925618}" name="Dezembro" dataDxfId="28">
      <calculatedColumnFormula>SUMIFS(Tab_Base[[Valor]:[Valor]],Tab_Base[[Categoria]:[Categoria]],$B5,Tab_Base[[Mês]:[Mês]],N$3,Tab_Base[[Ano]:[Ano]],$B$3,Tab_Base[[Tipo]:[Tipo]],"Saída")</calculatedColumnFormula>
    </tableColumn>
    <tableColumn id="14" xr3:uid="{BF1AE059-7433-4F58-8E1F-1D6EEBCE46F1}" name="Total" dataDxfId="27">
      <calculatedColumnFormula>SUM(tb_saidas[[#This Row],[Janeiro]:[Dezembro]])</calculatedColumnFormula>
    </tableColumn>
    <tableColumn id="15" xr3:uid="{43E34D27-82B8-4FC0-9597-3F055178849B}" name="Total Per" dataDxfId="26">
      <calculatedColumnFormula>SUMIFS(Tab_Base[Valor],Tab_Base[Categoria],tb_saidas[[#This Row],[Saídas]],Tab_Base[Data],"&gt;="&amp;$P$2,Tab_Base[Data],"&lt;="&amp;$P$3,Tab_Base[Tipo],"Saída")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C08661-44F4-489B-A72C-D0FC37F88AE9}" name="tb_entradas" displayName="tb_entradas" ref="R4:AF7" totalsRowShown="0" headerRowDxfId="25" dataDxfId="23" headerRowBorderDxfId="24" tableBorderDxfId="22" totalsRowBorderDxfId="21">
  <autoFilter ref="R4:AF7" xr:uid="{9BC08661-44F4-489B-A72C-D0FC37F88AE9}"/>
  <tableColumns count="15">
    <tableColumn id="1" xr3:uid="{FAE69A13-20C8-46C8-B77B-3D451553E3F3}" name="Entradas" dataDxfId="20"/>
    <tableColumn id="2" xr3:uid="{D152B817-1C8B-4983-A742-1D7D61C99E55}" name="Janeiro" dataDxfId="19">
      <calculatedColumnFormula>SUMIFS(Tab_Base[[Valor]:[Valor]],Tab_Base[[Categoria]:[Categoria]],$R5,Tab_Base[[Mês]:[Mês]],S$3,Tab_Base[[Ano]:[Ano]],$R$3,Tab_Base[[Tipo]:[Tipo]],"Entrada")</calculatedColumnFormula>
    </tableColumn>
    <tableColumn id="3" xr3:uid="{43AF7758-038D-4773-88D0-6846FED46382}" name="Fevereiro" dataDxfId="18">
      <calculatedColumnFormula>SUMIFS(Tab_Base[[Valor]:[Valor]],Tab_Base[[Categoria]:[Categoria]],$R5,Tab_Base[[Mês]:[Mês]],T$3,Tab_Base[[Ano]:[Ano]],$R$3,Tab_Base[[Tipo]:[Tipo]],"Entrada")</calculatedColumnFormula>
    </tableColumn>
    <tableColumn id="4" xr3:uid="{7932DB51-940D-4E74-8BD5-F52FF42A34F6}" name="Março" dataDxfId="17">
      <calculatedColumnFormula>SUMIFS(Tab_Base[[Valor]:[Valor]],Tab_Base[[Categoria]:[Categoria]],$R5,Tab_Base[[Mês]:[Mês]],U$3,Tab_Base[[Ano]:[Ano]],$R$3,Tab_Base[[Tipo]:[Tipo]],"Entrada")</calculatedColumnFormula>
    </tableColumn>
    <tableColumn id="5" xr3:uid="{39D9C69E-EF43-4C48-92CA-4DE815B42423}" name="Abril" dataDxfId="16">
      <calculatedColumnFormula>SUMIFS(Tab_Base[[Valor]:[Valor]],Tab_Base[[Categoria]:[Categoria]],$R5,Tab_Base[[Mês]:[Mês]],V$3,Tab_Base[[Ano]:[Ano]],$R$3,Tab_Base[[Tipo]:[Tipo]],"Entrada")</calculatedColumnFormula>
    </tableColumn>
    <tableColumn id="6" xr3:uid="{115813A6-F074-407D-B77A-8E589769B129}" name="Maio" dataDxfId="15">
      <calculatedColumnFormula>SUMIFS(Tab_Base[[Valor]:[Valor]],Tab_Base[[Categoria]:[Categoria]],$R5,Tab_Base[[Mês]:[Mês]],W$3,Tab_Base[[Ano]:[Ano]],$R$3,Tab_Base[[Tipo]:[Tipo]],"Entrada")</calculatedColumnFormula>
    </tableColumn>
    <tableColumn id="7" xr3:uid="{12C3F641-0300-416B-BE29-6C88C6AF3392}" name="Junho" dataDxfId="14">
      <calculatedColumnFormula>SUMIFS(Tab_Base[[Valor]:[Valor]],Tab_Base[[Categoria]:[Categoria]],$R5,Tab_Base[[Mês]:[Mês]],X$3,Tab_Base[[Ano]:[Ano]],$R$3,Tab_Base[[Tipo]:[Tipo]],"Entrada")</calculatedColumnFormula>
    </tableColumn>
    <tableColumn id="8" xr3:uid="{EF262F7F-DAC8-41E7-9468-0DD12108A826}" name="Julho" dataDxfId="13">
      <calculatedColumnFormula>SUMIFS(Tab_Base[[Valor]:[Valor]],Tab_Base[[Categoria]:[Categoria]],$R5,Tab_Base[[Mês]:[Mês]],Y$3,Tab_Base[[Ano]:[Ano]],$R$3,Tab_Base[[Tipo]:[Tipo]],"Entrada")</calculatedColumnFormula>
    </tableColumn>
    <tableColumn id="9" xr3:uid="{4422AF07-C786-4D86-B694-F6D10746EC7F}" name="Agosto" dataDxfId="12">
      <calculatedColumnFormula>SUMIFS(Tab_Base[[Valor]:[Valor]],Tab_Base[[Categoria]:[Categoria]],$R5,Tab_Base[[Mês]:[Mês]],Z$3,Tab_Base[[Ano]:[Ano]],$R$3,Tab_Base[[Tipo]:[Tipo]],"Entrada")</calculatedColumnFormula>
    </tableColumn>
    <tableColumn id="10" xr3:uid="{F598E70A-FE2A-4C2B-A9D4-C082FC71797B}" name="Setembro" dataDxfId="11">
      <calculatedColumnFormula>SUMIFS(Tab_Base[[Valor]:[Valor]],Tab_Base[[Categoria]:[Categoria]],$R5,Tab_Base[[Mês]:[Mês]],AA$3,Tab_Base[[Ano]:[Ano]],$R$3,Tab_Base[[Tipo]:[Tipo]],"Entrada")</calculatedColumnFormula>
    </tableColumn>
    <tableColumn id="11" xr3:uid="{54224D1D-5296-4416-A21E-AB998502F1EC}" name="Outubro" dataDxfId="10">
      <calculatedColumnFormula>SUMIFS(Tab_Base[[Valor]:[Valor]],Tab_Base[[Categoria]:[Categoria]],$R5,Tab_Base[[Mês]:[Mês]],AB$3,Tab_Base[[Ano]:[Ano]],$R$3,Tab_Base[[Tipo]:[Tipo]],"Entrada")</calculatedColumnFormula>
    </tableColumn>
    <tableColumn id="12" xr3:uid="{9F87FC4E-CD74-402B-A5F0-9A5DA857AB42}" name="Novembro" dataDxfId="9">
      <calculatedColumnFormula>SUMIFS(Tab_Base[[Valor]:[Valor]],Tab_Base[[Categoria]:[Categoria]],$R5,Tab_Base[[Mês]:[Mês]],AC$3,Tab_Base[[Ano]:[Ano]],$R$3,Tab_Base[[Tipo]:[Tipo]],"Entrada")</calculatedColumnFormula>
    </tableColumn>
    <tableColumn id="13" xr3:uid="{42569666-D4AE-416C-B682-01C212B24199}" name="Dezembro" dataDxfId="8">
      <calculatedColumnFormula>SUMIFS(Tab_Base[[Valor]:[Valor]],Tab_Base[[Categoria]:[Categoria]],$R5,Tab_Base[[Mês]:[Mês]],AD$3,Tab_Base[[Ano]:[Ano]],$R$3,Tab_Base[[Tipo]:[Tipo]],"Entrada")</calculatedColumnFormula>
    </tableColumn>
    <tableColumn id="14" xr3:uid="{7F8F8C16-0F3B-4A79-ACEE-67A4B015B8A2}" name="Total" dataDxfId="7">
      <calculatedColumnFormula>SUM(tb_entradas[[#This Row],[Janeiro]:[Dezembro]])</calculatedColumnFormula>
    </tableColumn>
    <tableColumn id="15" xr3:uid="{00E99327-560B-4E3D-8353-592E8D42E709}" name="Total Per" dataDxfId="6">
      <calculatedColumnFormula>SUMIFS(Tab_Base[Valor],Tab_Base[Categoria],tb_entradas[[#This Row],[Entradas]],Tab_Base[Data],"&gt;="&amp;$AF$2,Tab_Base[Data],"&lt;="&amp;$AF$3,Tab_Base[Tipo],"Entrada")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FD298C-109B-4BFB-B307-BE8DDA44AF81}" name="Tabela4" displayName="Tabela4" ref="AK4:AK5" totalsRowShown="0" headerRowDxfId="5" dataDxfId="3" headerRowBorderDxfId="4" tableBorderDxfId="2" totalsRowBorderDxfId="1">
  <autoFilter ref="AK4:AK5" xr:uid="{1CFD298C-109B-4BFB-B307-BE8DDA44AF81}"/>
  <tableColumns count="1">
    <tableColumn id="1" xr3:uid="{65509E94-51B7-49DC-AC54-E237FDB084DB}" name="Descrição (opciona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CDA7024F-169A-4713-BED1-F24C707479C6}" sourceName="Data">
  <pivotTables>
    <pivotTable tabId="6" name="Tabela dinâmica1"/>
  </pivotTables>
  <state minimalRefreshVersion="6" lastRefreshVersion="6" pivotCacheId="1302999839" filterType="dateBetween">
    <selection startDate="2024-10-01T00:00:00" endDate="2024-10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7E5305DD-1D71-4646-B4D5-83B78B5B27D9}" cache="NativeTimeline_Data" caption="Data" level="2" selectionLevel="2" scrollPosition="2024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BFDD-B3AB-46F9-A92C-FA602EF3C891}">
  <dimension ref="A1:K195"/>
  <sheetViews>
    <sheetView showGridLines="0" showRowColHeaders="0" tabSelected="1" zoomScaleNormal="100" workbookViewId="0">
      <pane ySplit="5" topLeftCell="A16" activePane="bottomLeft" state="frozen"/>
      <selection activeCell="Q4" sqref="Q4"/>
      <selection pane="bottomLeft" activeCell="B30" sqref="B30"/>
    </sheetView>
  </sheetViews>
  <sheetFormatPr defaultColWidth="10.85546875" defaultRowHeight="16.5" x14ac:dyDescent="0.25"/>
  <cols>
    <col min="1" max="1" width="2.42578125" style="52" customWidth="1"/>
    <col min="2" max="2" width="13.7109375" style="59" customWidth="1"/>
    <col min="3" max="3" width="10.85546875" style="59" customWidth="1"/>
    <col min="4" max="4" width="30.42578125" style="59" customWidth="1"/>
    <col min="5" max="5" width="62.85546875" style="59" bestFit="1" customWidth="1"/>
    <col min="6" max="6" width="19.140625" style="73" customWidth="1"/>
    <col min="7" max="8" width="15.85546875" style="59" hidden="1" customWidth="1"/>
    <col min="9" max="9" width="14.7109375" style="59" hidden="1" customWidth="1"/>
    <col min="10" max="10" width="4.7109375" style="59" customWidth="1"/>
    <col min="11" max="11" width="21.85546875" style="59" customWidth="1"/>
    <col min="12" max="16384" width="10.85546875" style="59"/>
  </cols>
  <sheetData>
    <row r="1" spans="1:11" s="53" customFormat="1" ht="42.75" customHeight="1" x14ac:dyDescent="0.5">
      <c r="A1" s="52"/>
      <c r="B1" s="98" t="s">
        <v>46</v>
      </c>
      <c r="C1" s="99"/>
      <c r="D1" s="99"/>
      <c r="F1" s="54"/>
      <c r="K1" s="82">
        <f>Saldo_Inicial+SUMIF(Tab_Base[Tipo],"Entrada",Tab_Base[Valor])-SUMIF(Tab_Base[Tipo],"Saída",Tab_Base[Valor])</f>
        <v>70.8799999999992</v>
      </c>
    </row>
    <row r="2" spans="1:11" ht="15" customHeight="1" x14ac:dyDescent="0.25">
      <c r="B2" s="55"/>
      <c r="C2" s="56"/>
      <c r="D2" s="56"/>
      <c r="E2" s="56"/>
      <c r="F2" s="57"/>
      <c r="G2" s="58" t="s">
        <v>20</v>
      </c>
      <c r="H2" s="58" t="s">
        <v>6</v>
      </c>
      <c r="I2" s="59" t="s">
        <v>45</v>
      </c>
    </row>
    <row r="3" spans="1:11" ht="28.5" customHeight="1" x14ac:dyDescent="0.25">
      <c r="B3" s="74" t="s">
        <v>47</v>
      </c>
      <c r="C3" s="56"/>
      <c r="D3" s="56"/>
      <c r="E3" s="56"/>
      <c r="F3" s="57"/>
      <c r="G3" s="60">
        <f ca="1">SUMPRODUCT(SUBTOTAL(9,OFFSET(F6,ROW(Tab_Base[Valor])-ROW(F6),0)),(Tab_Base[Tipo]="Entrada")+0)</f>
        <v>4996.49</v>
      </c>
      <c r="H3" s="60">
        <f ca="1">SUMPRODUCT(SUBTOTAL(9,OFFSET(F6,ROW(Tab_Base[Valor])-ROW(F6),0)),(Tab_Base[Tipo]="Saída")+0)</f>
        <v>4925.68</v>
      </c>
      <c r="I3" s="73">
        <f ca="1">G3-H3</f>
        <v>70.809999999999491</v>
      </c>
    </row>
    <row r="4" spans="1:11" ht="8.25" customHeight="1" x14ac:dyDescent="0.25">
      <c r="B4" s="55"/>
      <c r="C4" s="56"/>
      <c r="D4" s="56"/>
      <c r="E4" s="56"/>
      <c r="F4" s="57"/>
      <c r="G4" s="61"/>
      <c r="H4" s="61"/>
    </row>
    <row r="5" spans="1:11" ht="18" customHeight="1" thickBot="1" x14ac:dyDescent="0.3">
      <c r="B5" s="62" t="s">
        <v>0</v>
      </c>
      <c r="C5" s="62" t="s">
        <v>1</v>
      </c>
      <c r="D5" s="63" t="s">
        <v>28</v>
      </c>
      <c r="E5" s="62" t="s">
        <v>2</v>
      </c>
      <c r="F5" s="64" t="s">
        <v>3</v>
      </c>
      <c r="G5" s="62" t="s">
        <v>4</v>
      </c>
      <c r="H5" s="62" t="s">
        <v>5</v>
      </c>
    </row>
    <row r="6" spans="1:11" ht="17.25" thickBot="1" x14ac:dyDescent="0.3">
      <c r="B6" s="65">
        <v>45573</v>
      </c>
      <c r="C6" s="66" t="s">
        <v>61</v>
      </c>
      <c r="D6" s="67" t="s">
        <v>60</v>
      </c>
      <c r="E6" s="68" t="s">
        <v>62</v>
      </c>
      <c r="F6" s="69">
        <v>2296</v>
      </c>
      <c r="G6" s="70">
        <f>IF(Tab_Base[[#This Row],[Data]]&lt;&gt;"",MONTH(Tab_Base[[#This Row],[Data]]),"-")</f>
        <v>10</v>
      </c>
      <c r="H6" s="70">
        <f>IF(Tab_Base[[#This Row],[Data]]&lt;&gt;"",YEAR(Tab_Base[[#This Row],[Data]]),"-")</f>
        <v>2024</v>
      </c>
    </row>
    <row r="7" spans="1:11" ht="17.25" thickBot="1" x14ac:dyDescent="0.3">
      <c r="B7" s="72">
        <v>45573</v>
      </c>
      <c r="C7" s="66" t="s">
        <v>58</v>
      </c>
      <c r="D7" s="67" t="s">
        <v>63</v>
      </c>
      <c r="E7" s="68"/>
      <c r="F7" s="69">
        <v>785.96</v>
      </c>
      <c r="G7" s="70">
        <f>IF(Tab_Base[[#This Row],[Data]]&lt;&gt;"",MONTH(Tab_Base[[#This Row],[Data]]),"-")</f>
        <v>10</v>
      </c>
      <c r="H7" s="70">
        <f>IF(Tab_Base[[#This Row],[Data]]&lt;&gt;"",YEAR(Tab_Base[[#This Row],[Data]]),"-")</f>
        <v>2024</v>
      </c>
    </row>
    <row r="8" spans="1:11" ht="17.25" thickBot="1" x14ac:dyDescent="0.3">
      <c r="B8" s="72">
        <v>45573</v>
      </c>
      <c r="C8" s="66" t="s">
        <v>58</v>
      </c>
      <c r="D8" s="67" t="s">
        <v>64</v>
      </c>
      <c r="E8" s="68" t="s">
        <v>65</v>
      </c>
      <c r="F8" s="69">
        <v>200</v>
      </c>
      <c r="G8" s="70">
        <f>IF(Tab_Base[[#This Row],[Data]]&lt;&gt;"",MONTH(Tab_Base[[#This Row],[Data]]),"-")</f>
        <v>10</v>
      </c>
      <c r="H8" s="70">
        <f>IF(Tab_Base[[#This Row],[Data]]&lt;&gt;"",YEAR(Tab_Base[[#This Row],[Data]]),"-")</f>
        <v>2024</v>
      </c>
    </row>
    <row r="9" spans="1:11" ht="17.25" thickBot="1" x14ac:dyDescent="0.3">
      <c r="B9" s="72">
        <v>45573</v>
      </c>
      <c r="C9" s="66" t="s">
        <v>58</v>
      </c>
      <c r="D9" s="67" t="s">
        <v>59</v>
      </c>
      <c r="E9" s="68" t="s">
        <v>66</v>
      </c>
      <c r="F9" s="69">
        <v>99.9</v>
      </c>
      <c r="G9" s="70">
        <f>IF(Tab_Base[[#This Row],[Data]]&lt;&gt;"",MONTH(Tab_Base[[#This Row],[Data]]),"-")</f>
        <v>10</v>
      </c>
      <c r="H9" s="70">
        <f>IF(Tab_Base[[#This Row],[Data]]&lt;&gt;"",YEAR(Tab_Base[[#This Row],[Data]]),"-")</f>
        <v>2024</v>
      </c>
    </row>
    <row r="10" spans="1:11" ht="17.25" thickBot="1" x14ac:dyDescent="0.3">
      <c r="B10" s="72">
        <v>45573</v>
      </c>
      <c r="C10" s="66" t="s">
        <v>58</v>
      </c>
      <c r="D10" s="67" t="s">
        <v>67</v>
      </c>
      <c r="E10" s="68" t="s">
        <v>68</v>
      </c>
      <c r="F10" s="69">
        <v>388</v>
      </c>
      <c r="G10" s="70">
        <f>IF(Tab_Base[[#This Row],[Data]]&lt;&gt;"",MONTH(Tab_Base[[#This Row],[Data]]),"-")</f>
        <v>10</v>
      </c>
      <c r="H10" s="70">
        <f>IF(Tab_Base[[#This Row],[Data]]&lt;&gt;"",YEAR(Tab_Base[[#This Row],[Data]]),"-")</f>
        <v>2024</v>
      </c>
    </row>
    <row r="11" spans="1:11" ht="17.25" thickBot="1" x14ac:dyDescent="0.3">
      <c r="B11" s="72">
        <v>45573</v>
      </c>
      <c r="C11" s="66" t="s">
        <v>58</v>
      </c>
      <c r="D11" s="67" t="s">
        <v>69</v>
      </c>
      <c r="E11" s="68"/>
      <c r="F11" s="69">
        <v>50</v>
      </c>
      <c r="G11" s="70">
        <f>IF(Tab_Base[[#This Row],[Data]]&lt;&gt;"",MONTH(Tab_Base[[#This Row],[Data]]),"-")</f>
        <v>10</v>
      </c>
      <c r="H11" s="70">
        <f>IF(Tab_Base[[#This Row],[Data]]&lt;&gt;"",YEAR(Tab_Base[[#This Row],[Data]]),"-")</f>
        <v>2024</v>
      </c>
    </row>
    <row r="12" spans="1:11" ht="17.25" thickBot="1" x14ac:dyDescent="0.3">
      <c r="B12" s="72">
        <v>45573</v>
      </c>
      <c r="C12" s="66" t="s">
        <v>58</v>
      </c>
      <c r="D12" s="67" t="s">
        <v>70</v>
      </c>
      <c r="E12" s="68" t="s">
        <v>71</v>
      </c>
      <c r="F12" s="69">
        <v>320</v>
      </c>
      <c r="G12" s="70">
        <f>IF(Tab_Base[[#This Row],[Data]]&lt;&gt;"",MONTH(Tab_Base[[#This Row],[Data]]),"-")</f>
        <v>10</v>
      </c>
      <c r="H12" s="70">
        <f>IF(Tab_Base[[#This Row],[Data]]&lt;&gt;"",YEAR(Tab_Base[[#This Row],[Data]]),"-")</f>
        <v>2024</v>
      </c>
    </row>
    <row r="13" spans="1:11" ht="17.25" thickBot="1" x14ac:dyDescent="0.3">
      <c r="B13" s="72">
        <v>45573</v>
      </c>
      <c r="C13" s="66" t="s">
        <v>58</v>
      </c>
      <c r="D13" s="67" t="s">
        <v>72</v>
      </c>
      <c r="E13" s="68"/>
      <c r="F13" s="69">
        <v>330</v>
      </c>
      <c r="G13" s="71">
        <f>IF(Tab_Base[[#This Row],[Data]]&lt;&gt;"",MONTH(Tab_Base[[#This Row],[Data]]),"-")</f>
        <v>10</v>
      </c>
      <c r="H13" s="71">
        <f>IF(Tab_Base[[#This Row],[Data]]&lt;&gt;"",YEAR(Tab_Base[[#This Row],[Data]]),"-")</f>
        <v>2024</v>
      </c>
    </row>
    <row r="14" spans="1:11" ht="17.25" thickBot="1" x14ac:dyDescent="0.3">
      <c r="B14" s="72">
        <v>45573</v>
      </c>
      <c r="C14" s="66" t="s">
        <v>58</v>
      </c>
      <c r="D14" s="67" t="s">
        <v>73</v>
      </c>
      <c r="E14" s="68" t="s">
        <v>75</v>
      </c>
      <c r="F14" s="69">
        <v>5.5</v>
      </c>
      <c r="G14" s="70">
        <f>IF(Tab_Base[[#This Row],[Data]]&lt;&gt;"",MONTH(Tab_Base[[#This Row],[Data]]),"-")</f>
        <v>10</v>
      </c>
      <c r="H14" s="70">
        <f>IF(Tab_Base[[#This Row],[Data]]&lt;&gt;"",YEAR(Tab_Base[[#This Row],[Data]]),"-")</f>
        <v>2024</v>
      </c>
    </row>
    <row r="15" spans="1:11" ht="17.25" thickBot="1" x14ac:dyDescent="0.3">
      <c r="B15" s="72">
        <v>45574</v>
      </c>
      <c r="C15" s="66" t="s">
        <v>58</v>
      </c>
      <c r="D15" s="67" t="s">
        <v>74</v>
      </c>
      <c r="E15" s="68" t="s">
        <v>75</v>
      </c>
      <c r="F15" s="69">
        <v>2.5</v>
      </c>
      <c r="G15" s="70">
        <f>IF(Tab_Base[[#This Row],[Data]]&lt;&gt;"",MONTH(Tab_Base[[#This Row],[Data]]),"-")</f>
        <v>10</v>
      </c>
      <c r="H15" s="70">
        <f>IF(Tab_Base[[#This Row],[Data]]&lt;&gt;"",YEAR(Tab_Base[[#This Row],[Data]]),"-")</f>
        <v>2024</v>
      </c>
    </row>
    <row r="16" spans="1:11" ht="17.25" thickBot="1" x14ac:dyDescent="0.3">
      <c r="B16" s="72">
        <v>45574</v>
      </c>
      <c r="C16" s="66" t="s">
        <v>58</v>
      </c>
      <c r="D16" s="67" t="s">
        <v>74</v>
      </c>
      <c r="E16" s="68" t="s">
        <v>75</v>
      </c>
      <c r="F16" s="69">
        <v>2</v>
      </c>
      <c r="G16" s="70">
        <f>IF(Tab_Base[[#This Row],[Data]]&lt;&gt;"",MONTH(Tab_Base[[#This Row],[Data]]),"-")</f>
        <v>10</v>
      </c>
      <c r="H16" s="70">
        <f>IF(Tab_Base[[#This Row],[Data]]&lt;&gt;"",YEAR(Tab_Base[[#This Row],[Data]]),"-")</f>
        <v>2024</v>
      </c>
    </row>
    <row r="17" spans="2:8" ht="17.25" thickBot="1" x14ac:dyDescent="0.3">
      <c r="B17" s="72">
        <v>45575</v>
      </c>
      <c r="C17" s="66" t="s">
        <v>58</v>
      </c>
      <c r="D17" s="67" t="s">
        <v>73</v>
      </c>
      <c r="E17" s="68" t="s">
        <v>76</v>
      </c>
      <c r="F17" s="69">
        <v>28.28</v>
      </c>
      <c r="G17" s="70">
        <f>IF(Tab_Base[[#This Row],[Data]]&lt;&gt;"",MONTH(Tab_Base[[#This Row],[Data]]),"-")</f>
        <v>10</v>
      </c>
      <c r="H17" s="70">
        <f>IF(Tab_Base[[#This Row],[Data]]&lt;&gt;"",YEAR(Tab_Base[[#This Row],[Data]]),"-")</f>
        <v>2024</v>
      </c>
    </row>
    <row r="18" spans="2:8" ht="17.25" thickBot="1" x14ac:dyDescent="0.3">
      <c r="B18" s="72">
        <v>45576</v>
      </c>
      <c r="C18" s="66" t="s">
        <v>58</v>
      </c>
      <c r="D18" s="67" t="s">
        <v>77</v>
      </c>
      <c r="E18" s="68" t="s">
        <v>78</v>
      </c>
      <c r="F18" s="69">
        <v>50</v>
      </c>
      <c r="G18" s="70">
        <f>IF(Tab_Base[[#This Row],[Data]]&lt;&gt;"",MONTH(Tab_Base[[#This Row],[Data]]),"-")</f>
        <v>10</v>
      </c>
      <c r="H18" s="70">
        <f>IF(Tab_Base[[#This Row],[Data]]&lt;&gt;"",YEAR(Tab_Base[[#This Row],[Data]]),"-")</f>
        <v>2024</v>
      </c>
    </row>
    <row r="19" spans="2:8" ht="17.25" thickBot="1" x14ac:dyDescent="0.3">
      <c r="B19" s="72">
        <v>45576</v>
      </c>
      <c r="C19" s="66" t="s">
        <v>61</v>
      </c>
      <c r="D19" s="67" t="s">
        <v>79</v>
      </c>
      <c r="E19" s="68" t="s">
        <v>80</v>
      </c>
      <c r="F19" s="69">
        <v>354.49</v>
      </c>
      <c r="G19" s="70">
        <f>IF(Tab_Base[[#This Row],[Data]]&lt;&gt;"",MONTH(Tab_Base[[#This Row],[Data]]),"-")</f>
        <v>10</v>
      </c>
      <c r="H19" s="70">
        <f>IF(Tab_Base[[#This Row],[Data]]&lt;&gt;"",YEAR(Tab_Base[[#This Row],[Data]]),"-")</f>
        <v>2024</v>
      </c>
    </row>
    <row r="20" spans="2:8" ht="17.25" thickBot="1" x14ac:dyDescent="0.3">
      <c r="B20" s="72">
        <v>45576</v>
      </c>
      <c r="C20" s="66" t="s">
        <v>58</v>
      </c>
      <c r="D20" s="67" t="s">
        <v>63</v>
      </c>
      <c r="E20" s="68" t="s">
        <v>81</v>
      </c>
      <c r="F20" s="69">
        <v>371.76</v>
      </c>
      <c r="G20" s="70">
        <f>IF(Tab_Base[[#This Row],[Data]]&lt;&gt;"",MONTH(Tab_Base[[#This Row],[Data]]),"-")</f>
        <v>10</v>
      </c>
      <c r="H20" s="70">
        <f>IF(Tab_Base[[#This Row],[Data]]&lt;&gt;"",YEAR(Tab_Base[[#This Row],[Data]]),"-")</f>
        <v>2024</v>
      </c>
    </row>
    <row r="21" spans="2:8" ht="17.25" thickBot="1" x14ac:dyDescent="0.3">
      <c r="B21" s="72">
        <v>45579</v>
      </c>
      <c r="C21" s="66" t="s">
        <v>58</v>
      </c>
      <c r="D21" s="67" t="s">
        <v>57</v>
      </c>
      <c r="E21" s="68" t="s">
        <v>82</v>
      </c>
      <c r="F21" s="69">
        <v>1</v>
      </c>
      <c r="G21" s="70">
        <f>IF(Tab_Base[[#This Row],[Data]]&lt;&gt;"",MONTH(Tab_Base[[#This Row],[Data]]),"-")</f>
        <v>10</v>
      </c>
      <c r="H21" s="70">
        <f>IF(Tab_Base[[#This Row],[Data]]&lt;&gt;"",YEAR(Tab_Base[[#This Row],[Data]]),"-")</f>
        <v>2024</v>
      </c>
    </row>
    <row r="22" spans="2:8" ht="17.25" thickBot="1" x14ac:dyDescent="0.3">
      <c r="B22" s="72">
        <v>45583</v>
      </c>
      <c r="C22" s="66" t="s">
        <v>58</v>
      </c>
      <c r="D22" s="67" t="s">
        <v>73</v>
      </c>
      <c r="E22" s="68" t="s">
        <v>83</v>
      </c>
      <c r="F22" s="69">
        <v>11</v>
      </c>
      <c r="G22" s="70">
        <f>IF(Tab_Base[[#This Row],[Data]]&lt;&gt;"",MONTH(Tab_Base[[#This Row],[Data]]),"-")</f>
        <v>10</v>
      </c>
      <c r="H22" s="70">
        <f>IF(Tab_Base[[#This Row],[Data]]&lt;&gt;"",YEAR(Tab_Base[[#This Row],[Data]]),"-")</f>
        <v>2024</v>
      </c>
    </row>
    <row r="23" spans="2:8" ht="17.25" thickBot="1" x14ac:dyDescent="0.3">
      <c r="B23" s="72">
        <v>45587</v>
      </c>
      <c r="C23" s="66" t="s">
        <v>58</v>
      </c>
      <c r="D23" s="67" t="s">
        <v>74</v>
      </c>
      <c r="E23" s="68"/>
      <c r="F23" s="69">
        <v>2.5</v>
      </c>
      <c r="G23" s="70">
        <f>IF(Tab_Base[[#This Row],[Data]]&lt;&gt;"",MONTH(Tab_Base[[#This Row],[Data]]),"-")</f>
        <v>10</v>
      </c>
      <c r="H23" s="70">
        <f>IF(Tab_Base[[#This Row],[Data]]&lt;&gt;"",YEAR(Tab_Base[[#This Row],[Data]]),"-")</f>
        <v>2024</v>
      </c>
    </row>
    <row r="24" spans="2:8" ht="17.25" thickBot="1" x14ac:dyDescent="0.3">
      <c r="B24" s="72">
        <v>45604</v>
      </c>
      <c r="C24" s="66" t="s">
        <v>61</v>
      </c>
      <c r="D24" s="67" t="s">
        <v>60</v>
      </c>
      <c r="E24" s="68"/>
      <c r="F24" s="69">
        <v>2296</v>
      </c>
      <c r="G24" s="70">
        <f>IF(Tab_Base[[#This Row],[Data]]&lt;&gt;"",MONTH(Tab_Base[[#This Row],[Data]]),"-")</f>
        <v>11</v>
      </c>
      <c r="H24" s="70">
        <f>IF(Tab_Base[[#This Row],[Data]]&lt;&gt;"",YEAR(Tab_Base[[#This Row],[Data]]),"-")</f>
        <v>2024</v>
      </c>
    </row>
    <row r="25" spans="2:8" ht="17.25" thickBot="1" x14ac:dyDescent="0.3">
      <c r="B25" s="72">
        <v>45604</v>
      </c>
      <c r="C25" s="66" t="s">
        <v>58</v>
      </c>
      <c r="D25" s="67" t="s">
        <v>57</v>
      </c>
      <c r="E25" s="68" t="s">
        <v>84</v>
      </c>
      <c r="F25" s="69">
        <v>200</v>
      </c>
      <c r="G25" s="70">
        <f>IF(Tab_Base[[#This Row],[Data]]&lt;&gt;"",MONTH(Tab_Base[[#This Row],[Data]]),"-")</f>
        <v>11</v>
      </c>
      <c r="H25" s="70">
        <f>IF(Tab_Base[[#This Row],[Data]]&lt;&gt;"",YEAR(Tab_Base[[#This Row],[Data]]),"-")</f>
        <v>2024</v>
      </c>
    </row>
    <row r="26" spans="2:8" ht="17.25" thickBot="1" x14ac:dyDescent="0.3">
      <c r="B26" s="65">
        <v>45604</v>
      </c>
      <c r="C26" s="66" t="s">
        <v>58</v>
      </c>
      <c r="D26" s="67" t="s">
        <v>63</v>
      </c>
      <c r="E26" s="68" t="s">
        <v>85</v>
      </c>
      <c r="F26" s="69">
        <v>1975.23</v>
      </c>
      <c r="G26" s="70">
        <f>IF(Tab_Base[[#This Row],[Data]]&lt;&gt;"",MONTH(Tab_Base[[#This Row],[Data]]),"-")</f>
        <v>11</v>
      </c>
      <c r="H26" s="70">
        <f>IF(Tab_Base[[#This Row],[Data]]&lt;&gt;"",YEAR(Tab_Base[[#This Row],[Data]]),"-")</f>
        <v>2024</v>
      </c>
    </row>
    <row r="27" spans="2:8" ht="17.25" thickBot="1" x14ac:dyDescent="0.3">
      <c r="B27" s="65">
        <v>45604</v>
      </c>
      <c r="C27" s="66" t="s">
        <v>58</v>
      </c>
      <c r="D27" s="67" t="s">
        <v>59</v>
      </c>
      <c r="E27" s="68"/>
      <c r="F27" s="69">
        <v>99.9</v>
      </c>
      <c r="G27" s="70">
        <f>IF(Tab_Base[[#This Row],[Data]]&lt;&gt;"",MONTH(Tab_Base[[#This Row],[Data]]),"-")</f>
        <v>11</v>
      </c>
      <c r="H27" s="70">
        <f>IF(Tab_Base[[#This Row],[Data]]&lt;&gt;"",YEAR(Tab_Base[[#This Row],[Data]]),"-")</f>
        <v>2024</v>
      </c>
    </row>
    <row r="28" spans="2:8" ht="17.25" thickBot="1" x14ac:dyDescent="0.3">
      <c r="B28" s="72">
        <v>45601</v>
      </c>
      <c r="C28" s="66" t="s">
        <v>61</v>
      </c>
      <c r="D28" s="67" t="s">
        <v>86</v>
      </c>
      <c r="E28" s="68" t="s">
        <v>87</v>
      </c>
      <c r="F28" s="69">
        <v>50</v>
      </c>
      <c r="G28" s="70">
        <f>IF(Tab_Base[[#This Row],[Data]]&lt;&gt;"",MONTH(Tab_Base[[#This Row],[Data]]),"-")</f>
        <v>11</v>
      </c>
      <c r="H28" s="70">
        <f>IF(Tab_Base[[#This Row],[Data]]&lt;&gt;"",YEAR(Tab_Base[[#This Row],[Data]]),"-")</f>
        <v>2024</v>
      </c>
    </row>
    <row r="29" spans="2:8" ht="17.25" thickBot="1" x14ac:dyDescent="0.3">
      <c r="B29" s="72">
        <v>45605</v>
      </c>
      <c r="C29" s="66" t="s">
        <v>58</v>
      </c>
      <c r="D29" s="67" t="s">
        <v>74</v>
      </c>
      <c r="E29" s="68"/>
      <c r="F29" s="69">
        <v>2.15</v>
      </c>
      <c r="G29" s="70">
        <f>IF(Tab_Base[[#This Row],[Data]]&lt;&gt;"",MONTH(Tab_Base[[#This Row],[Data]]),"-")</f>
        <v>11</v>
      </c>
      <c r="H29" s="70">
        <f>IF(Tab_Base[[#This Row],[Data]]&lt;&gt;"",YEAR(Tab_Base[[#This Row],[Data]]),"-")</f>
        <v>2024</v>
      </c>
    </row>
    <row r="30" spans="2:8" ht="17.25" thickBot="1" x14ac:dyDescent="0.3">
      <c r="B30" s="72"/>
      <c r="C30" s="66"/>
      <c r="D30" s="67"/>
      <c r="E30" s="68"/>
      <c r="F30" s="69"/>
      <c r="G30" s="70" t="str">
        <f>IF(Tab_Base[[#This Row],[Data]]&lt;&gt;"",MONTH(Tab_Base[[#This Row],[Data]]),"-")</f>
        <v>-</v>
      </c>
      <c r="H30" s="70" t="str">
        <f>IF(Tab_Base[[#This Row],[Data]]&lt;&gt;"",YEAR(Tab_Base[[#This Row],[Data]]),"-")</f>
        <v>-</v>
      </c>
    </row>
    <row r="31" spans="2:8" ht="17.25" thickBot="1" x14ac:dyDescent="0.3">
      <c r="B31" s="72"/>
      <c r="C31" s="66"/>
      <c r="D31" s="67"/>
      <c r="E31" s="68"/>
      <c r="F31" s="69"/>
      <c r="G31" s="70" t="str">
        <f>IF(Tab_Base[[#This Row],[Data]]&lt;&gt;"",MONTH(Tab_Base[[#This Row],[Data]]),"-")</f>
        <v>-</v>
      </c>
      <c r="H31" s="70" t="str">
        <f>IF(Tab_Base[[#This Row],[Data]]&lt;&gt;"",YEAR(Tab_Base[[#This Row],[Data]]),"-")</f>
        <v>-</v>
      </c>
    </row>
    <row r="32" spans="2:8" ht="17.25" thickBot="1" x14ac:dyDescent="0.3">
      <c r="B32" s="72"/>
      <c r="C32" s="66"/>
      <c r="D32" s="67"/>
      <c r="E32" s="68"/>
      <c r="F32" s="69"/>
      <c r="G32" s="70" t="str">
        <f>IF(Tab_Base[[#This Row],[Data]]&lt;&gt;"",MONTH(Tab_Base[[#This Row],[Data]]),"-")</f>
        <v>-</v>
      </c>
      <c r="H32" s="70" t="str">
        <f>IF(Tab_Base[[#This Row],[Data]]&lt;&gt;"",YEAR(Tab_Base[[#This Row],[Data]]),"-")</f>
        <v>-</v>
      </c>
    </row>
    <row r="33" spans="2:8" ht="17.25" thickBot="1" x14ac:dyDescent="0.3">
      <c r="B33" s="72"/>
      <c r="C33" s="66"/>
      <c r="D33" s="67"/>
      <c r="E33" s="68"/>
      <c r="F33" s="69"/>
      <c r="G33" s="70" t="str">
        <f>IF(Tab_Base[[#This Row],[Data]]&lt;&gt;"",MONTH(Tab_Base[[#This Row],[Data]]),"-")</f>
        <v>-</v>
      </c>
      <c r="H33" s="70" t="str">
        <f>IF(Tab_Base[[#This Row],[Data]]&lt;&gt;"",YEAR(Tab_Base[[#This Row],[Data]]),"-")</f>
        <v>-</v>
      </c>
    </row>
    <row r="34" spans="2:8" ht="17.25" thickBot="1" x14ac:dyDescent="0.3">
      <c r="B34" s="72"/>
      <c r="C34" s="66"/>
      <c r="D34" s="67"/>
      <c r="E34" s="68"/>
      <c r="F34" s="69"/>
      <c r="G34" s="70" t="str">
        <f>IF(Tab_Base[[#This Row],[Data]]&lt;&gt;"",MONTH(Tab_Base[[#This Row],[Data]]),"-")</f>
        <v>-</v>
      </c>
      <c r="H34" s="70" t="str">
        <f>IF(Tab_Base[[#This Row],[Data]]&lt;&gt;"",YEAR(Tab_Base[[#This Row],[Data]]),"-")</f>
        <v>-</v>
      </c>
    </row>
    <row r="35" spans="2:8" ht="17.25" thickBot="1" x14ac:dyDescent="0.3">
      <c r="B35" s="72"/>
      <c r="C35" s="66"/>
      <c r="D35" s="67"/>
      <c r="E35" s="68"/>
      <c r="F35" s="69"/>
      <c r="G35" s="70" t="str">
        <f>IF(Tab_Base[[#This Row],[Data]]&lt;&gt;"",MONTH(Tab_Base[[#This Row],[Data]]),"-")</f>
        <v>-</v>
      </c>
      <c r="H35" s="70" t="str">
        <f>IF(Tab_Base[[#This Row],[Data]]&lt;&gt;"",YEAR(Tab_Base[[#This Row],[Data]]),"-")</f>
        <v>-</v>
      </c>
    </row>
    <row r="36" spans="2:8" ht="17.25" thickBot="1" x14ac:dyDescent="0.3">
      <c r="B36" s="72"/>
      <c r="C36" s="66"/>
      <c r="D36" s="67"/>
      <c r="E36" s="68"/>
      <c r="F36" s="69"/>
      <c r="G36" s="70" t="str">
        <f>IF(Tab_Base[[#This Row],[Data]]&lt;&gt;"",MONTH(Tab_Base[[#This Row],[Data]]),"-")</f>
        <v>-</v>
      </c>
      <c r="H36" s="70" t="str">
        <f>IF(Tab_Base[[#This Row],[Data]]&lt;&gt;"",YEAR(Tab_Base[[#This Row],[Data]]),"-")</f>
        <v>-</v>
      </c>
    </row>
    <row r="37" spans="2:8" ht="17.25" thickBot="1" x14ac:dyDescent="0.3">
      <c r="B37" s="72"/>
      <c r="C37" s="66"/>
      <c r="D37" s="67"/>
      <c r="E37" s="68"/>
      <c r="F37" s="69"/>
      <c r="G37" s="70" t="str">
        <f>IF(Tab_Base[[#This Row],[Data]]&lt;&gt;"",MONTH(Tab_Base[[#This Row],[Data]]),"-")</f>
        <v>-</v>
      </c>
      <c r="H37" s="70" t="str">
        <f>IF(Tab_Base[[#This Row],[Data]]&lt;&gt;"",YEAR(Tab_Base[[#This Row],[Data]]),"-")</f>
        <v>-</v>
      </c>
    </row>
    <row r="38" spans="2:8" ht="17.25" thickBot="1" x14ac:dyDescent="0.3">
      <c r="B38" s="72"/>
      <c r="C38" s="66"/>
      <c r="D38" s="67"/>
      <c r="E38" s="68"/>
      <c r="F38" s="69"/>
      <c r="G38" s="70" t="str">
        <f>IF(Tab_Base[[#This Row],[Data]]&lt;&gt;"",MONTH(Tab_Base[[#This Row],[Data]]),"-")</f>
        <v>-</v>
      </c>
      <c r="H38" s="70" t="str">
        <f>IF(Tab_Base[[#This Row],[Data]]&lt;&gt;"",YEAR(Tab_Base[[#This Row],[Data]]),"-")</f>
        <v>-</v>
      </c>
    </row>
    <row r="39" spans="2:8" ht="17.25" thickBot="1" x14ac:dyDescent="0.3">
      <c r="B39" s="72"/>
      <c r="C39" s="66"/>
      <c r="D39" s="67"/>
      <c r="E39" s="68"/>
      <c r="F39" s="69"/>
      <c r="G39" s="70" t="str">
        <f>IF(Tab_Base[[#This Row],[Data]]&lt;&gt;"",MONTH(Tab_Base[[#This Row],[Data]]),"-")</f>
        <v>-</v>
      </c>
      <c r="H39" s="70" t="str">
        <f>IF(Tab_Base[[#This Row],[Data]]&lt;&gt;"",YEAR(Tab_Base[[#This Row],[Data]]),"-")</f>
        <v>-</v>
      </c>
    </row>
    <row r="40" spans="2:8" ht="17.25" thickBot="1" x14ac:dyDescent="0.3">
      <c r="B40" s="72"/>
      <c r="C40" s="66"/>
      <c r="D40" s="67"/>
      <c r="E40" s="68"/>
      <c r="F40" s="69"/>
      <c r="G40" s="70" t="str">
        <f>IF(Tab_Base[[#This Row],[Data]]&lt;&gt;"",MONTH(Tab_Base[[#This Row],[Data]]),"-")</f>
        <v>-</v>
      </c>
      <c r="H40" s="70" t="str">
        <f>IF(Tab_Base[[#This Row],[Data]]&lt;&gt;"",YEAR(Tab_Base[[#This Row],[Data]]),"-")</f>
        <v>-</v>
      </c>
    </row>
    <row r="41" spans="2:8" ht="17.25" thickBot="1" x14ac:dyDescent="0.3">
      <c r="B41" s="72"/>
      <c r="C41" s="66"/>
      <c r="D41" s="67"/>
      <c r="E41" s="68"/>
      <c r="F41" s="69"/>
      <c r="G41" s="70" t="str">
        <f>IF(Tab_Base[[#This Row],[Data]]&lt;&gt;"",MONTH(Tab_Base[[#This Row],[Data]]),"-")</f>
        <v>-</v>
      </c>
      <c r="H41" s="70" t="str">
        <f>IF(Tab_Base[[#This Row],[Data]]&lt;&gt;"",YEAR(Tab_Base[[#This Row],[Data]]),"-")</f>
        <v>-</v>
      </c>
    </row>
    <row r="42" spans="2:8" ht="17.25" thickBot="1" x14ac:dyDescent="0.3">
      <c r="B42" s="72"/>
      <c r="C42" s="66"/>
      <c r="D42" s="67"/>
      <c r="E42" s="68"/>
      <c r="F42" s="69"/>
      <c r="G42" s="70" t="str">
        <f>IF(Tab_Base[[#This Row],[Data]]&lt;&gt;"",MONTH(Tab_Base[[#This Row],[Data]]),"-")</f>
        <v>-</v>
      </c>
      <c r="H42" s="70" t="str">
        <f>IF(Tab_Base[[#This Row],[Data]]&lt;&gt;"",YEAR(Tab_Base[[#This Row],[Data]]),"-")</f>
        <v>-</v>
      </c>
    </row>
    <row r="43" spans="2:8" ht="17.25" thickBot="1" x14ac:dyDescent="0.3">
      <c r="B43" s="72"/>
      <c r="C43" s="66"/>
      <c r="D43" s="67"/>
      <c r="E43" s="68"/>
      <c r="F43" s="69"/>
      <c r="G43" s="70" t="str">
        <f>IF(Tab_Base[[#This Row],[Data]]&lt;&gt;"",MONTH(Tab_Base[[#This Row],[Data]]),"-")</f>
        <v>-</v>
      </c>
      <c r="H43" s="70" t="str">
        <f>IF(Tab_Base[[#This Row],[Data]]&lt;&gt;"",YEAR(Tab_Base[[#This Row],[Data]]),"-")</f>
        <v>-</v>
      </c>
    </row>
    <row r="44" spans="2:8" ht="17.25" thickBot="1" x14ac:dyDescent="0.3">
      <c r="B44" s="72"/>
      <c r="C44" s="66"/>
      <c r="D44" s="67"/>
      <c r="E44" s="68"/>
      <c r="F44" s="69"/>
      <c r="G44" s="70" t="str">
        <f>IF(Tab_Base[[#This Row],[Data]]&lt;&gt;"",MONTH(Tab_Base[[#This Row],[Data]]),"-")</f>
        <v>-</v>
      </c>
      <c r="H44" s="70" t="str">
        <f>IF(Tab_Base[[#This Row],[Data]]&lt;&gt;"",YEAR(Tab_Base[[#This Row],[Data]]),"-")</f>
        <v>-</v>
      </c>
    </row>
    <row r="45" spans="2:8" ht="17.25" thickBot="1" x14ac:dyDescent="0.3">
      <c r="B45" s="72"/>
      <c r="C45" s="66"/>
      <c r="D45" s="67"/>
      <c r="E45" s="68"/>
      <c r="F45" s="69"/>
      <c r="G45" s="70" t="str">
        <f>IF(Tab_Base[[#This Row],[Data]]&lt;&gt;"",MONTH(Tab_Base[[#This Row],[Data]]),"-")</f>
        <v>-</v>
      </c>
      <c r="H45" s="70" t="str">
        <f>IF(Tab_Base[[#This Row],[Data]]&lt;&gt;"",YEAR(Tab_Base[[#This Row],[Data]]),"-")</f>
        <v>-</v>
      </c>
    </row>
    <row r="46" spans="2:8" ht="17.25" thickBot="1" x14ac:dyDescent="0.3">
      <c r="B46" s="72"/>
      <c r="C46" s="66"/>
      <c r="D46" s="67"/>
      <c r="E46" s="68"/>
      <c r="F46" s="69"/>
      <c r="G46" s="70" t="str">
        <f>IF(Tab_Base[[#This Row],[Data]]&lt;&gt;"",MONTH(Tab_Base[[#This Row],[Data]]),"-")</f>
        <v>-</v>
      </c>
      <c r="H46" s="70" t="str">
        <f>IF(Tab_Base[[#This Row],[Data]]&lt;&gt;"",YEAR(Tab_Base[[#This Row],[Data]]),"-")</f>
        <v>-</v>
      </c>
    </row>
    <row r="47" spans="2:8" ht="17.25" thickBot="1" x14ac:dyDescent="0.3">
      <c r="B47" s="72"/>
      <c r="C47" s="66"/>
      <c r="D47" s="67"/>
      <c r="E47" s="68"/>
      <c r="F47" s="69"/>
      <c r="G47" s="70" t="str">
        <f>IF(Tab_Base[[#This Row],[Data]]&lt;&gt;"",MONTH(Tab_Base[[#This Row],[Data]]),"-")</f>
        <v>-</v>
      </c>
      <c r="H47" s="70" t="str">
        <f>IF(Tab_Base[[#This Row],[Data]]&lt;&gt;"",YEAR(Tab_Base[[#This Row],[Data]]),"-")</f>
        <v>-</v>
      </c>
    </row>
    <row r="48" spans="2:8" ht="17.25" thickBot="1" x14ac:dyDescent="0.3">
      <c r="B48" s="72"/>
      <c r="C48" s="66"/>
      <c r="D48" s="67"/>
      <c r="E48" s="68"/>
      <c r="F48" s="69"/>
      <c r="G48" s="70" t="str">
        <f>IF(Tab_Base[[#This Row],[Data]]&lt;&gt;"",MONTH(Tab_Base[[#This Row],[Data]]),"-")</f>
        <v>-</v>
      </c>
      <c r="H48" s="70" t="str">
        <f>IF(Tab_Base[[#This Row],[Data]]&lt;&gt;"",YEAR(Tab_Base[[#This Row],[Data]]),"-")</f>
        <v>-</v>
      </c>
    </row>
    <row r="49" spans="2:8" ht="17.25" thickBot="1" x14ac:dyDescent="0.3">
      <c r="B49" s="72"/>
      <c r="C49" s="66"/>
      <c r="D49" s="67"/>
      <c r="E49" s="68"/>
      <c r="F49" s="69"/>
      <c r="G49" s="70" t="str">
        <f>IF(Tab_Base[[#This Row],[Data]]&lt;&gt;"",MONTH(Tab_Base[[#This Row],[Data]]),"-")</f>
        <v>-</v>
      </c>
      <c r="H49" s="70" t="str">
        <f>IF(Tab_Base[[#This Row],[Data]]&lt;&gt;"",YEAR(Tab_Base[[#This Row],[Data]]),"-")</f>
        <v>-</v>
      </c>
    </row>
    <row r="50" spans="2:8" ht="17.25" thickBot="1" x14ac:dyDescent="0.3">
      <c r="B50" s="72"/>
      <c r="C50" s="66"/>
      <c r="D50" s="67"/>
      <c r="E50" s="68"/>
      <c r="F50" s="69"/>
      <c r="G50" s="70" t="str">
        <f>IF(Tab_Base[[#This Row],[Data]]&lt;&gt;"",MONTH(Tab_Base[[#This Row],[Data]]),"-")</f>
        <v>-</v>
      </c>
      <c r="H50" s="70" t="str">
        <f>IF(Tab_Base[[#This Row],[Data]]&lt;&gt;"",YEAR(Tab_Base[[#This Row],[Data]]),"-")</f>
        <v>-</v>
      </c>
    </row>
    <row r="51" spans="2:8" ht="17.25" thickBot="1" x14ac:dyDescent="0.3">
      <c r="B51" s="72"/>
      <c r="C51" s="66"/>
      <c r="D51" s="67"/>
      <c r="E51" s="68"/>
      <c r="F51" s="69"/>
      <c r="G51" s="70" t="str">
        <f>IF(Tab_Base[[#This Row],[Data]]&lt;&gt;"",MONTH(Tab_Base[[#This Row],[Data]]),"-")</f>
        <v>-</v>
      </c>
      <c r="H51" s="70" t="str">
        <f>IF(Tab_Base[[#This Row],[Data]]&lt;&gt;"",YEAR(Tab_Base[[#This Row],[Data]]),"-")</f>
        <v>-</v>
      </c>
    </row>
    <row r="52" spans="2:8" ht="17.25" thickBot="1" x14ac:dyDescent="0.3">
      <c r="B52" s="72"/>
      <c r="C52" s="66"/>
      <c r="D52" s="67"/>
      <c r="E52" s="68"/>
      <c r="F52" s="69"/>
      <c r="G52" s="70" t="str">
        <f>IF(Tab_Base[[#This Row],[Data]]&lt;&gt;"",MONTH(Tab_Base[[#This Row],[Data]]),"-")</f>
        <v>-</v>
      </c>
      <c r="H52" s="70" t="str">
        <f>IF(Tab_Base[[#This Row],[Data]]&lt;&gt;"",YEAR(Tab_Base[[#This Row],[Data]]),"-")</f>
        <v>-</v>
      </c>
    </row>
    <row r="53" spans="2:8" ht="17.25" thickBot="1" x14ac:dyDescent="0.3">
      <c r="B53" s="72"/>
      <c r="C53" s="66"/>
      <c r="D53" s="67"/>
      <c r="E53" s="68"/>
      <c r="F53" s="69"/>
      <c r="G53" s="70" t="str">
        <f>IF(Tab_Base[[#This Row],[Data]]&lt;&gt;"",MONTH(Tab_Base[[#This Row],[Data]]),"-")</f>
        <v>-</v>
      </c>
      <c r="H53" s="70" t="str">
        <f>IF(Tab_Base[[#This Row],[Data]]&lt;&gt;"",YEAR(Tab_Base[[#This Row],[Data]]),"-")</f>
        <v>-</v>
      </c>
    </row>
    <row r="54" spans="2:8" ht="17.25" thickBot="1" x14ac:dyDescent="0.3">
      <c r="B54" s="72"/>
      <c r="C54" s="66"/>
      <c r="D54" s="67"/>
      <c r="E54" s="68"/>
      <c r="F54" s="69"/>
      <c r="G54" s="70" t="str">
        <f>IF(Tab_Base[[#This Row],[Data]]&lt;&gt;"",MONTH(Tab_Base[[#This Row],[Data]]),"-")</f>
        <v>-</v>
      </c>
      <c r="H54" s="70" t="str">
        <f>IF(Tab_Base[[#This Row],[Data]]&lt;&gt;"",YEAR(Tab_Base[[#This Row],[Data]]),"-")</f>
        <v>-</v>
      </c>
    </row>
    <row r="55" spans="2:8" ht="17.25" thickBot="1" x14ac:dyDescent="0.3">
      <c r="B55" s="72"/>
      <c r="C55" s="66"/>
      <c r="D55" s="67"/>
      <c r="E55" s="68"/>
      <c r="F55" s="69"/>
      <c r="G55" s="70" t="str">
        <f>IF(Tab_Base[[#This Row],[Data]]&lt;&gt;"",MONTH(Tab_Base[[#This Row],[Data]]),"-")</f>
        <v>-</v>
      </c>
      <c r="H55" s="70" t="str">
        <f>IF(Tab_Base[[#This Row],[Data]]&lt;&gt;"",YEAR(Tab_Base[[#This Row],[Data]]),"-")</f>
        <v>-</v>
      </c>
    </row>
    <row r="56" spans="2:8" ht="17.25" thickBot="1" x14ac:dyDescent="0.3">
      <c r="B56" s="72"/>
      <c r="C56" s="66"/>
      <c r="D56" s="67"/>
      <c r="E56" s="68"/>
      <c r="F56" s="69"/>
      <c r="G56" s="70" t="str">
        <f>IF(Tab_Base[[#This Row],[Data]]&lt;&gt;"",MONTH(Tab_Base[[#This Row],[Data]]),"-")</f>
        <v>-</v>
      </c>
      <c r="H56" s="70" t="str">
        <f>IF(Tab_Base[[#This Row],[Data]]&lt;&gt;"",YEAR(Tab_Base[[#This Row],[Data]]),"-")</f>
        <v>-</v>
      </c>
    </row>
    <row r="57" spans="2:8" ht="17.25" thickBot="1" x14ac:dyDescent="0.3">
      <c r="B57" s="72"/>
      <c r="C57" s="66"/>
      <c r="D57" s="67"/>
      <c r="E57" s="68"/>
      <c r="F57" s="69"/>
      <c r="G57" s="70" t="str">
        <f>IF(Tab_Base[[#This Row],[Data]]&lt;&gt;"",MONTH(Tab_Base[[#This Row],[Data]]),"-")</f>
        <v>-</v>
      </c>
      <c r="H57" s="70" t="str">
        <f>IF(Tab_Base[[#This Row],[Data]]&lt;&gt;"",YEAR(Tab_Base[[#This Row],[Data]]),"-")</f>
        <v>-</v>
      </c>
    </row>
    <row r="58" spans="2:8" ht="17.25" thickBot="1" x14ac:dyDescent="0.3">
      <c r="B58" s="72"/>
      <c r="C58" s="66"/>
      <c r="D58" s="67"/>
      <c r="E58" s="68"/>
      <c r="F58" s="69"/>
      <c r="G58" s="70" t="str">
        <f>IF(Tab_Base[[#This Row],[Data]]&lt;&gt;"",MONTH(Tab_Base[[#This Row],[Data]]),"-")</f>
        <v>-</v>
      </c>
      <c r="H58" s="70" t="str">
        <f>IF(Tab_Base[[#This Row],[Data]]&lt;&gt;"",YEAR(Tab_Base[[#This Row],[Data]]),"-")</f>
        <v>-</v>
      </c>
    </row>
    <row r="59" spans="2:8" ht="17.25" thickBot="1" x14ac:dyDescent="0.3">
      <c r="B59" s="72"/>
      <c r="C59" s="66"/>
      <c r="D59" s="67"/>
      <c r="E59" s="68"/>
      <c r="F59" s="69"/>
      <c r="G59" s="70" t="str">
        <f>IF(Tab_Base[[#This Row],[Data]]&lt;&gt;"",MONTH(Tab_Base[[#This Row],[Data]]),"-")</f>
        <v>-</v>
      </c>
      <c r="H59" s="70" t="str">
        <f>IF(Tab_Base[[#This Row],[Data]]&lt;&gt;"",YEAR(Tab_Base[[#This Row],[Data]]),"-")</f>
        <v>-</v>
      </c>
    </row>
    <row r="60" spans="2:8" ht="17.25" thickBot="1" x14ac:dyDescent="0.3">
      <c r="B60" s="72"/>
      <c r="C60" s="66"/>
      <c r="D60" s="67"/>
      <c r="E60" s="68"/>
      <c r="F60" s="69"/>
      <c r="G60" s="70" t="str">
        <f>IF(Tab_Base[[#This Row],[Data]]&lt;&gt;"",MONTH(Tab_Base[[#This Row],[Data]]),"-")</f>
        <v>-</v>
      </c>
      <c r="H60" s="70" t="str">
        <f>IF(Tab_Base[[#This Row],[Data]]&lt;&gt;"",YEAR(Tab_Base[[#This Row],[Data]]),"-")</f>
        <v>-</v>
      </c>
    </row>
    <row r="61" spans="2:8" ht="17.25" thickBot="1" x14ac:dyDescent="0.3">
      <c r="B61" s="72"/>
      <c r="C61" s="66"/>
      <c r="D61" s="67"/>
      <c r="E61" s="68"/>
      <c r="F61" s="69"/>
      <c r="G61" s="70" t="str">
        <f>IF(Tab_Base[[#This Row],[Data]]&lt;&gt;"",MONTH(Tab_Base[[#This Row],[Data]]),"-")</f>
        <v>-</v>
      </c>
      <c r="H61" s="70" t="str">
        <f>IF(Tab_Base[[#This Row],[Data]]&lt;&gt;"",YEAR(Tab_Base[[#This Row],[Data]]),"-")</f>
        <v>-</v>
      </c>
    </row>
    <row r="62" spans="2:8" ht="17.25" thickBot="1" x14ac:dyDescent="0.3">
      <c r="B62" s="72"/>
      <c r="C62" s="66"/>
      <c r="D62" s="67"/>
      <c r="E62" s="68"/>
      <c r="F62" s="69"/>
      <c r="G62" s="70" t="str">
        <f>IF(Tab_Base[[#This Row],[Data]]&lt;&gt;"",MONTH(Tab_Base[[#This Row],[Data]]),"-")</f>
        <v>-</v>
      </c>
      <c r="H62" s="70" t="str">
        <f>IF(Tab_Base[[#This Row],[Data]]&lt;&gt;"",YEAR(Tab_Base[[#This Row],[Data]]),"-")</f>
        <v>-</v>
      </c>
    </row>
    <row r="63" spans="2:8" ht="17.25" thickBot="1" x14ac:dyDescent="0.3">
      <c r="B63" s="72"/>
      <c r="C63" s="66"/>
      <c r="D63" s="67"/>
      <c r="E63" s="68"/>
      <c r="F63" s="69"/>
      <c r="G63" s="70" t="str">
        <f>IF(Tab_Base[[#This Row],[Data]]&lt;&gt;"",MONTH(Tab_Base[[#This Row],[Data]]),"-")</f>
        <v>-</v>
      </c>
      <c r="H63" s="70" t="str">
        <f>IF(Tab_Base[[#This Row],[Data]]&lt;&gt;"",YEAR(Tab_Base[[#This Row],[Data]]),"-")</f>
        <v>-</v>
      </c>
    </row>
    <row r="64" spans="2:8" ht="17.25" thickBot="1" x14ac:dyDescent="0.3">
      <c r="B64" s="72"/>
      <c r="C64" s="66"/>
      <c r="D64" s="67"/>
      <c r="E64" s="68"/>
      <c r="F64" s="69"/>
      <c r="G64" s="70" t="str">
        <f>IF(Tab_Base[[#This Row],[Data]]&lt;&gt;"",MONTH(Tab_Base[[#This Row],[Data]]),"-")</f>
        <v>-</v>
      </c>
      <c r="H64" s="70" t="str">
        <f>IF(Tab_Base[[#This Row],[Data]]&lt;&gt;"",YEAR(Tab_Base[[#This Row],[Data]]),"-")</f>
        <v>-</v>
      </c>
    </row>
    <row r="65" spans="2:8" ht="17.25" thickBot="1" x14ac:dyDescent="0.3">
      <c r="B65" s="72"/>
      <c r="C65" s="66"/>
      <c r="D65" s="67"/>
      <c r="E65" s="68"/>
      <c r="F65" s="69"/>
      <c r="G65" s="70" t="str">
        <f>IF(Tab_Base[[#This Row],[Data]]&lt;&gt;"",MONTH(Tab_Base[[#This Row],[Data]]),"-")</f>
        <v>-</v>
      </c>
      <c r="H65" s="70" t="str">
        <f>IF(Tab_Base[[#This Row],[Data]]&lt;&gt;"",YEAR(Tab_Base[[#This Row],[Data]]),"-")</f>
        <v>-</v>
      </c>
    </row>
    <row r="66" spans="2:8" ht="17.25" thickBot="1" x14ac:dyDescent="0.3">
      <c r="B66" s="72"/>
      <c r="C66" s="66"/>
      <c r="D66" s="67"/>
      <c r="E66" s="68"/>
      <c r="F66" s="69"/>
      <c r="G66" s="70" t="str">
        <f>IF(Tab_Base[[#This Row],[Data]]&lt;&gt;"",MONTH(Tab_Base[[#This Row],[Data]]),"-")</f>
        <v>-</v>
      </c>
      <c r="H66" s="70" t="str">
        <f>IF(Tab_Base[[#This Row],[Data]]&lt;&gt;"",YEAR(Tab_Base[[#This Row],[Data]]),"-")</f>
        <v>-</v>
      </c>
    </row>
    <row r="67" spans="2:8" ht="17.25" thickBot="1" x14ac:dyDescent="0.3">
      <c r="B67" s="72"/>
      <c r="C67" s="66"/>
      <c r="D67" s="67"/>
      <c r="E67" s="68"/>
      <c r="F67" s="69"/>
      <c r="G67" s="70" t="str">
        <f>IF(Tab_Base[[#This Row],[Data]]&lt;&gt;"",MONTH(Tab_Base[[#This Row],[Data]]),"-")</f>
        <v>-</v>
      </c>
      <c r="H67" s="70" t="str">
        <f>IF(Tab_Base[[#This Row],[Data]]&lt;&gt;"",YEAR(Tab_Base[[#This Row],[Data]]),"-")</f>
        <v>-</v>
      </c>
    </row>
    <row r="68" spans="2:8" ht="17.25" thickBot="1" x14ac:dyDescent="0.3">
      <c r="B68" s="72"/>
      <c r="C68" s="66"/>
      <c r="D68" s="67"/>
      <c r="E68" s="68"/>
      <c r="F68" s="69"/>
      <c r="G68" s="70" t="str">
        <f>IF(Tab_Base[[#This Row],[Data]]&lt;&gt;"",MONTH(Tab_Base[[#This Row],[Data]]),"-")</f>
        <v>-</v>
      </c>
      <c r="H68" s="70" t="str">
        <f>IF(Tab_Base[[#This Row],[Data]]&lt;&gt;"",YEAR(Tab_Base[[#This Row],[Data]]),"-")</f>
        <v>-</v>
      </c>
    </row>
    <row r="69" spans="2:8" ht="17.25" thickBot="1" x14ac:dyDescent="0.3">
      <c r="B69" s="72"/>
      <c r="C69" s="66"/>
      <c r="D69" s="67"/>
      <c r="E69" s="68"/>
      <c r="F69" s="69"/>
      <c r="G69" s="70" t="str">
        <f>IF(Tab_Base[[#This Row],[Data]]&lt;&gt;"",MONTH(Tab_Base[[#This Row],[Data]]),"-")</f>
        <v>-</v>
      </c>
      <c r="H69" s="70" t="str">
        <f>IF(Tab_Base[[#This Row],[Data]]&lt;&gt;"",YEAR(Tab_Base[[#This Row],[Data]]),"-")</f>
        <v>-</v>
      </c>
    </row>
    <row r="70" spans="2:8" ht="17.25" thickBot="1" x14ac:dyDescent="0.3">
      <c r="B70" s="72"/>
      <c r="C70" s="66"/>
      <c r="D70" s="67"/>
      <c r="E70" s="68"/>
      <c r="F70" s="69"/>
      <c r="G70" s="70" t="str">
        <f>IF(Tab_Base[[#This Row],[Data]]&lt;&gt;"",MONTH(Tab_Base[[#This Row],[Data]]),"-")</f>
        <v>-</v>
      </c>
      <c r="H70" s="70" t="str">
        <f>IF(Tab_Base[[#This Row],[Data]]&lt;&gt;"",YEAR(Tab_Base[[#This Row],[Data]]),"-")</f>
        <v>-</v>
      </c>
    </row>
    <row r="71" spans="2:8" ht="17.25" thickBot="1" x14ac:dyDescent="0.3">
      <c r="B71" s="72"/>
      <c r="C71" s="66"/>
      <c r="D71" s="67"/>
      <c r="E71" s="68"/>
      <c r="F71" s="69"/>
      <c r="G71" s="70" t="str">
        <f>IF(Tab_Base[[#This Row],[Data]]&lt;&gt;"",MONTH(Tab_Base[[#This Row],[Data]]),"-")</f>
        <v>-</v>
      </c>
      <c r="H71" s="70" t="str">
        <f>IF(Tab_Base[[#This Row],[Data]]&lt;&gt;"",YEAR(Tab_Base[[#This Row],[Data]]),"-")</f>
        <v>-</v>
      </c>
    </row>
    <row r="72" spans="2:8" ht="17.25" thickBot="1" x14ac:dyDescent="0.3">
      <c r="B72" s="72"/>
      <c r="C72" s="66"/>
      <c r="D72" s="67"/>
      <c r="E72" s="68"/>
      <c r="F72" s="69"/>
      <c r="G72" s="70" t="str">
        <f>IF(Tab_Base[[#This Row],[Data]]&lt;&gt;"",MONTH(Tab_Base[[#This Row],[Data]]),"-")</f>
        <v>-</v>
      </c>
      <c r="H72" s="70" t="str">
        <f>IF(Tab_Base[[#This Row],[Data]]&lt;&gt;"",YEAR(Tab_Base[[#This Row],[Data]]),"-")</f>
        <v>-</v>
      </c>
    </row>
    <row r="73" spans="2:8" ht="17.25" thickBot="1" x14ac:dyDescent="0.3">
      <c r="B73" s="72"/>
      <c r="C73" s="66"/>
      <c r="D73" s="67"/>
      <c r="E73" s="68"/>
      <c r="F73" s="69"/>
      <c r="G73" s="70" t="str">
        <f>IF(Tab_Base[[#This Row],[Data]]&lt;&gt;"",MONTH(Tab_Base[[#This Row],[Data]]),"-")</f>
        <v>-</v>
      </c>
      <c r="H73" s="70" t="str">
        <f>IF(Tab_Base[[#This Row],[Data]]&lt;&gt;"",YEAR(Tab_Base[[#This Row],[Data]]),"-")</f>
        <v>-</v>
      </c>
    </row>
    <row r="74" spans="2:8" ht="17.25" thickBot="1" x14ac:dyDescent="0.3">
      <c r="B74" s="72"/>
      <c r="C74" s="66"/>
      <c r="D74" s="67"/>
      <c r="E74" s="68"/>
      <c r="F74" s="69"/>
      <c r="G74" s="70" t="str">
        <f>IF(Tab_Base[[#This Row],[Data]]&lt;&gt;"",MONTH(Tab_Base[[#This Row],[Data]]),"-")</f>
        <v>-</v>
      </c>
      <c r="H74" s="70" t="str">
        <f>IF(Tab_Base[[#This Row],[Data]]&lt;&gt;"",YEAR(Tab_Base[[#This Row],[Data]]),"-")</f>
        <v>-</v>
      </c>
    </row>
    <row r="75" spans="2:8" ht="17.25" thickBot="1" x14ac:dyDescent="0.3">
      <c r="B75" s="72"/>
      <c r="C75" s="66"/>
      <c r="D75" s="67"/>
      <c r="E75" s="68"/>
      <c r="F75" s="69"/>
      <c r="G75" s="70" t="str">
        <f>IF(Tab_Base[[#This Row],[Data]]&lt;&gt;"",MONTH(Tab_Base[[#This Row],[Data]]),"-")</f>
        <v>-</v>
      </c>
      <c r="H75" s="70" t="str">
        <f>IF(Tab_Base[[#This Row],[Data]]&lt;&gt;"",YEAR(Tab_Base[[#This Row],[Data]]),"-")</f>
        <v>-</v>
      </c>
    </row>
    <row r="76" spans="2:8" ht="17.25" thickBot="1" x14ac:dyDescent="0.3">
      <c r="B76" s="72"/>
      <c r="C76" s="66"/>
      <c r="D76" s="67"/>
      <c r="E76" s="68"/>
      <c r="F76" s="69"/>
      <c r="G76" s="70" t="str">
        <f>IF(Tab_Base[[#This Row],[Data]]&lt;&gt;"",MONTH(Tab_Base[[#This Row],[Data]]),"-")</f>
        <v>-</v>
      </c>
      <c r="H76" s="70" t="str">
        <f>IF(Tab_Base[[#This Row],[Data]]&lt;&gt;"",YEAR(Tab_Base[[#This Row],[Data]]),"-")</f>
        <v>-</v>
      </c>
    </row>
    <row r="77" spans="2:8" ht="17.25" thickBot="1" x14ac:dyDescent="0.3">
      <c r="B77" s="72"/>
      <c r="C77" s="66"/>
      <c r="D77" s="67"/>
      <c r="E77" s="68"/>
      <c r="F77" s="69"/>
      <c r="G77" s="70" t="str">
        <f>IF(Tab_Base[[#This Row],[Data]]&lt;&gt;"",MONTH(Tab_Base[[#This Row],[Data]]),"-")</f>
        <v>-</v>
      </c>
      <c r="H77" s="70" t="str">
        <f>IF(Tab_Base[[#This Row],[Data]]&lt;&gt;"",YEAR(Tab_Base[[#This Row],[Data]]),"-")</f>
        <v>-</v>
      </c>
    </row>
    <row r="78" spans="2:8" ht="17.25" thickBot="1" x14ac:dyDescent="0.3">
      <c r="B78" s="72"/>
      <c r="C78" s="66"/>
      <c r="D78" s="67"/>
      <c r="E78" s="68"/>
      <c r="F78" s="69"/>
      <c r="G78" s="70" t="str">
        <f>IF(Tab_Base[[#This Row],[Data]]&lt;&gt;"",MONTH(Tab_Base[[#This Row],[Data]]),"-")</f>
        <v>-</v>
      </c>
      <c r="H78" s="70" t="str">
        <f>IF(Tab_Base[[#This Row],[Data]]&lt;&gt;"",YEAR(Tab_Base[[#This Row],[Data]]),"-")</f>
        <v>-</v>
      </c>
    </row>
    <row r="79" spans="2:8" ht="17.25" thickBot="1" x14ac:dyDescent="0.3">
      <c r="B79" s="72"/>
      <c r="C79" s="66"/>
      <c r="D79" s="67"/>
      <c r="E79" s="68"/>
      <c r="F79" s="69"/>
      <c r="G79" s="70" t="str">
        <f>IF(Tab_Base[[#This Row],[Data]]&lt;&gt;"",MONTH(Tab_Base[[#This Row],[Data]]),"-")</f>
        <v>-</v>
      </c>
      <c r="H79" s="70" t="str">
        <f>IF(Tab_Base[[#This Row],[Data]]&lt;&gt;"",YEAR(Tab_Base[[#This Row],[Data]]),"-")</f>
        <v>-</v>
      </c>
    </row>
    <row r="80" spans="2:8" ht="17.25" thickBot="1" x14ac:dyDescent="0.3">
      <c r="B80" s="72"/>
      <c r="C80" s="66"/>
      <c r="D80" s="67"/>
      <c r="E80" s="68"/>
      <c r="F80" s="69"/>
      <c r="G80" s="70" t="str">
        <f>IF(Tab_Base[[#This Row],[Data]]&lt;&gt;"",MONTH(Tab_Base[[#This Row],[Data]]),"-")</f>
        <v>-</v>
      </c>
      <c r="H80" s="70" t="str">
        <f>IF(Tab_Base[[#This Row],[Data]]&lt;&gt;"",YEAR(Tab_Base[[#This Row],[Data]]),"-")</f>
        <v>-</v>
      </c>
    </row>
    <row r="81" spans="2:8" ht="17.25" thickBot="1" x14ac:dyDescent="0.3">
      <c r="B81" s="72"/>
      <c r="C81" s="66"/>
      <c r="D81" s="67"/>
      <c r="E81" s="68"/>
      <c r="F81" s="69"/>
      <c r="G81" s="70" t="str">
        <f>IF(Tab_Base[[#This Row],[Data]]&lt;&gt;"",MONTH(Tab_Base[[#This Row],[Data]]),"-")</f>
        <v>-</v>
      </c>
      <c r="H81" s="70" t="str">
        <f>IF(Tab_Base[[#This Row],[Data]]&lt;&gt;"",YEAR(Tab_Base[[#This Row],[Data]]),"-")</f>
        <v>-</v>
      </c>
    </row>
    <row r="82" spans="2:8" ht="17.25" thickBot="1" x14ac:dyDescent="0.3">
      <c r="B82" s="72"/>
      <c r="C82" s="66"/>
      <c r="D82" s="67"/>
      <c r="E82" s="68"/>
      <c r="F82" s="69"/>
      <c r="G82" s="70" t="str">
        <f>IF(Tab_Base[[#This Row],[Data]]&lt;&gt;"",MONTH(Tab_Base[[#This Row],[Data]]),"-")</f>
        <v>-</v>
      </c>
      <c r="H82" s="70" t="str">
        <f>IF(Tab_Base[[#This Row],[Data]]&lt;&gt;"",YEAR(Tab_Base[[#This Row],[Data]]),"-")</f>
        <v>-</v>
      </c>
    </row>
    <row r="83" spans="2:8" ht="17.25" thickBot="1" x14ac:dyDescent="0.3">
      <c r="B83" s="72"/>
      <c r="C83" s="66"/>
      <c r="D83" s="67"/>
      <c r="E83" s="68"/>
      <c r="F83" s="69"/>
      <c r="G83" s="70" t="str">
        <f>IF(Tab_Base[[#This Row],[Data]]&lt;&gt;"",MONTH(Tab_Base[[#This Row],[Data]]),"-")</f>
        <v>-</v>
      </c>
      <c r="H83" s="70" t="str">
        <f>IF(Tab_Base[[#This Row],[Data]]&lt;&gt;"",YEAR(Tab_Base[[#This Row],[Data]]),"-")</f>
        <v>-</v>
      </c>
    </row>
    <row r="84" spans="2:8" ht="17.25" thickBot="1" x14ac:dyDescent="0.3">
      <c r="B84" s="72"/>
      <c r="C84" s="66"/>
      <c r="D84" s="67"/>
      <c r="E84" s="68"/>
      <c r="F84" s="69"/>
      <c r="G84" s="70" t="str">
        <f>IF(Tab_Base[[#This Row],[Data]]&lt;&gt;"",MONTH(Tab_Base[[#This Row],[Data]]),"-")</f>
        <v>-</v>
      </c>
      <c r="H84" s="70" t="str">
        <f>IF(Tab_Base[[#This Row],[Data]]&lt;&gt;"",YEAR(Tab_Base[[#This Row],[Data]]),"-")</f>
        <v>-</v>
      </c>
    </row>
    <row r="85" spans="2:8" ht="17.25" thickBot="1" x14ac:dyDescent="0.3">
      <c r="B85" s="72"/>
      <c r="C85" s="66"/>
      <c r="D85" s="67"/>
      <c r="E85" s="68"/>
      <c r="F85" s="69"/>
      <c r="G85" s="70" t="str">
        <f>IF(Tab_Base[[#This Row],[Data]]&lt;&gt;"",MONTH(Tab_Base[[#This Row],[Data]]),"-")</f>
        <v>-</v>
      </c>
      <c r="H85" s="70" t="str">
        <f>IF(Tab_Base[[#This Row],[Data]]&lt;&gt;"",YEAR(Tab_Base[[#This Row],[Data]]),"-")</f>
        <v>-</v>
      </c>
    </row>
    <row r="86" spans="2:8" ht="17.25" thickBot="1" x14ac:dyDescent="0.3">
      <c r="B86" s="72"/>
      <c r="C86" s="66"/>
      <c r="D86" s="67"/>
      <c r="E86" s="68"/>
      <c r="F86" s="69"/>
      <c r="G86" s="70" t="str">
        <f>IF(Tab_Base[[#This Row],[Data]]&lt;&gt;"",MONTH(Tab_Base[[#This Row],[Data]]),"-")</f>
        <v>-</v>
      </c>
      <c r="H86" s="70" t="str">
        <f>IF(Tab_Base[[#This Row],[Data]]&lt;&gt;"",YEAR(Tab_Base[[#This Row],[Data]]),"-")</f>
        <v>-</v>
      </c>
    </row>
    <row r="87" spans="2:8" ht="17.25" thickBot="1" x14ac:dyDescent="0.3">
      <c r="B87" s="72"/>
      <c r="C87" s="66"/>
      <c r="D87" s="67"/>
      <c r="E87" s="68"/>
      <c r="F87" s="69"/>
      <c r="G87" s="70" t="str">
        <f>IF(Tab_Base[[#This Row],[Data]]&lt;&gt;"",MONTH(Tab_Base[[#This Row],[Data]]),"-")</f>
        <v>-</v>
      </c>
      <c r="H87" s="70" t="str">
        <f>IF(Tab_Base[[#This Row],[Data]]&lt;&gt;"",YEAR(Tab_Base[[#This Row],[Data]]),"-")</f>
        <v>-</v>
      </c>
    </row>
    <row r="88" spans="2:8" ht="17.25" thickBot="1" x14ac:dyDescent="0.3">
      <c r="B88" s="72"/>
      <c r="C88" s="66"/>
      <c r="D88" s="67"/>
      <c r="E88" s="68"/>
      <c r="F88" s="69"/>
      <c r="G88" s="70" t="str">
        <f>IF(Tab_Base[[#This Row],[Data]]&lt;&gt;"",MONTH(Tab_Base[[#This Row],[Data]]),"-")</f>
        <v>-</v>
      </c>
      <c r="H88" s="70" t="str">
        <f>IF(Tab_Base[[#This Row],[Data]]&lt;&gt;"",YEAR(Tab_Base[[#This Row],[Data]]),"-")</f>
        <v>-</v>
      </c>
    </row>
    <row r="89" spans="2:8" ht="17.25" thickBot="1" x14ac:dyDescent="0.3">
      <c r="B89" s="72"/>
      <c r="C89" s="66"/>
      <c r="D89" s="67"/>
      <c r="E89" s="68"/>
      <c r="F89" s="69"/>
      <c r="G89" s="70" t="str">
        <f>IF(Tab_Base[[#This Row],[Data]]&lt;&gt;"",MONTH(Tab_Base[[#This Row],[Data]]),"-")</f>
        <v>-</v>
      </c>
      <c r="H89" s="70" t="str">
        <f>IF(Tab_Base[[#This Row],[Data]]&lt;&gt;"",YEAR(Tab_Base[[#This Row],[Data]]),"-")</f>
        <v>-</v>
      </c>
    </row>
    <row r="90" spans="2:8" ht="17.25" thickBot="1" x14ac:dyDescent="0.3">
      <c r="B90" s="72"/>
      <c r="C90" s="66"/>
      <c r="D90" s="67"/>
      <c r="E90" s="68"/>
      <c r="F90" s="69"/>
      <c r="G90" s="70" t="str">
        <f>IF(Tab_Base[[#This Row],[Data]]&lt;&gt;"",MONTH(Tab_Base[[#This Row],[Data]]),"-")</f>
        <v>-</v>
      </c>
      <c r="H90" s="70" t="str">
        <f>IF(Tab_Base[[#This Row],[Data]]&lt;&gt;"",YEAR(Tab_Base[[#This Row],[Data]]),"-")</f>
        <v>-</v>
      </c>
    </row>
    <row r="91" spans="2:8" ht="17.25" thickBot="1" x14ac:dyDescent="0.3">
      <c r="B91" s="72"/>
      <c r="C91" s="66"/>
      <c r="D91" s="67"/>
      <c r="E91" s="68"/>
      <c r="F91" s="69"/>
      <c r="G91" s="70" t="str">
        <f>IF(Tab_Base[[#This Row],[Data]]&lt;&gt;"",MONTH(Tab_Base[[#This Row],[Data]]),"-")</f>
        <v>-</v>
      </c>
      <c r="H91" s="70" t="str">
        <f>IF(Tab_Base[[#This Row],[Data]]&lt;&gt;"",YEAR(Tab_Base[[#This Row],[Data]]),"-")</f>
        <v>-</v>
      </c>
    </row>
    <row r="92" spans="2:8" ht="17.25" thickBot="1" x14ac:dyDescent="0.3">
      <c r="B92" s="72"/>
      <c r="C92" s="66"/>
      <c r="D92" s="67"/>
      <c r="E92" s="68"/>
      <c r="F92" s="69"/>
      <c r="G92" s="70" t="str">
        <f>IF(Tab_Base[[#This Row],[Data]]&lt;&gt;"",MONTH(Tab_Base[[#This Row],[Data]]),"-")</f>
        <v>-</v>
      </c>
      <c r="H92" s="70" t="str">
        <f>IF(Tab_Base[[#This Row],[Data]]&lt;&gt;"",YEAR(Tab_Base[[#This Row],[Data]]),"-")</f>
        <v>-</v>
      </c>
    </row>
    <row r="93" spans="2:8" ht="17.25" thickBot="1" x14ac:dyDescent="0.3">
      <c r="B93" s="72"/>
      <c r="C93" s="66"/>
      <c r="D93" s="67"/>
      <c r="E93" s="68"/>
      <c r="F93" s="69"/>
      <c r="G93" s="70" t="str">
        <f>IF(Tab_Base[[#This Row],[Data]]&lt;&gt;"",MONTH(Tab_Base[[#This Row],[Data]]),"-")</f>
        <v>-</v>
      </c>
      <c r="H93" s="70" t="str">
        <f>IF(Tab_Base[[#This Row],[Data]]&lt;&gt;"",YEAR(Tab_Base[[#This Row],[Data]]),"-")</f>
        <v>-</v>
      </c>
    </row>
    <row r="94" spans="2:8" ht="17.25" thickBot="1" x14ac:dyDescent="0.3">
      <c r="B94" s="72"/>
      <c r="C94" s="66"/>
      <c r="D94" s="67"/>
      <c r="E94" s="68"/>
      <c r="F94" s="69"/>
      <c r="G94" s="70" t="str">
        <f>IF(Tab_Base[[#This Row],[Data]]&lt;&gt;"",MONTH(Tab_Base[[#This Row],[Data]]),"-")</f>
        <v>-</v>
      </c>
      <c r="H94" s="70" t="str">
        <f>IF(Tab_Base[[#This Row],[Data]]&lt;&gt;"",YEAR(Tab_Base[[#This Row],[Data]]),"-")</f>
        <v>-</v>
      </c>
    </row>
    <row r="95" spans="2:8" ht="17.25" thickBot="1" x14ac:dyDescent="0.3">
      <c r="B95" s="72"/>
      <c r="C95" s="66"/>
      <c r="D95" s="67"/>
      <c r="E95" s="68"/>
      <c r="F95" s="69"/>
      <c r="G95" s="70" t="str">
        <f>IF(Tab_Base[[#This Row],[Data]]&lt;&gt;"",MONTH(Tab_Base[[#This Row],[Data]]),"-")</f>
        <v>-</v>
      </c>
      <c r="H95" s="70" t="str">
        <f>IF(Tab_Base[[#This Row],[Data]]&lt;&gt;"",YEAR(Tab_Base[[#This Row],[Data]]),"-")</f>
        <v>-</v>
      </c>
    </row>
    <row r="96" spans="2:8" ht="17.25" thickBot="1" x14ac:dyDescent="0.3">
      <c r="B96" s="72"/>
      <c r="C96" s="66"/>
      <c r="D96" s="67"/>
      <c r="E96" s="68"/>
      <c r="F96" s="69"/>
      <c r="G96" s="70" t="str">
        <f>IF(Tab_Base[[#This Row],[Data]]&lt;&gt;"",MONTH(Tab_Base[[#This Row],[Data]]),"-")</f>
        <v>-</v>
      </c>
      <c r="H96" s="70" t="str">
        <f>IF(Tab_Base[[#This Row],[Data]]&lt;&gt;"",YEAR(Tab_Base[[#This Row],[Data]]),"-")</f>
        <v>-</v>
      </c>
    </row>
    <row r="97" spans="2:8" ht="17.25" thickBot="1" x14ac:dyDescent="0.3">
      <c r="B97" s="72"/>
      <c r="C97" s="66"/>
      <c r="D97" s="67"/>
      <c r="E97" s="68"/>
      <c r="F97" s="69"/>
      <c r="G97" s="70" t="str">
        <f>IF(Tab_Base[[#This Row],[Data]]&lt;&gt;"",MONTH(Tab_Base[[#This Row],[Data]]),"-")</f>
        <v>-</v>
      </c>
      <c r="H97" s="70" t="str">
        <f>IF(Tab_Base[[#This Row],[Data]]&lt;&gt;"",YEAR(Tab_Base[[#This Row],[Data]]),"-")</f>
        <v>-</v>
      </c>
    </row>
    <row r="98" spans="2:8" ht="17.25" thickBot="1" x14ac:dyDescent="0.3">
      <c r="B98" s="72"/>
      <c r="C98" s="66"/>
      <c r="D98" s="67"/>
      <c r="E98" s="68"/>
      <c r="F98" s="69"/>
      <c r="G98" s="70" t="str">
        <f>IF(Tab_Base[[#This Row],[Data]]&lt;&gt;"",MONTH(Tab_Base[[#This Row],[Data]]),"-")</f>
        <v>-</v>
      </c>
      <c r="H98" s="70" t="str">
        <f>IF(Tab_Base[[#This Row],[Data]]&lt;&gt;"",YEAR(Tab_Base[[#This Row],[Data]]),"-")</f>
        <v>-</v>
      </c>
    </row>
    <row r="99" spans="2:8" ht="17.25" thickBot="1" x14ac:dyDescent="0.3">
      <c r="B99" s="72"/>
      <c r="C99" s="66"/>
      <c r="D99" s="67"/>
      <c r="E99" s="68"/>
      <c r="F99" s="69"/>
      <c r="G99" s="70" t="str">
        <f>IF(Tab_Base[[#This Row],[Data]]&lt;&gt;"",MONTH(Tab_Base[[#This Row],[Data]]),"-")</f>
        <v>-</v>
      </c>
      <c r="H99" s="70" t="str">
        <f>IF(Tab_Base[[#This Row],[Data]]&lt;&gt;"",YEAR(Tab_Base[[#This Row],[Data]]),"-")</f>
        <v>-</v>
      </c>
    </row>
    <row r="100" spans="2:8" ht="17.25" thickBot="1" x14ac:dyDescent="0.3">
      <c r="B100" s="72"/>
      <c r="C100" s="66"/>
      <c r="D100" s="67"/>
      <c r="E100" s="68"/>
      <c r="F100" s="69"/>
      <c r="G100" s="70" t="str">
        <f>IF(Tab_Base[[#This Row],[Data]]&lt;&gt;"",MONTH(Tab_Base[[#This Row],[Data]]),"-")</f>
        <v>-</v>
      </c>
      <c r="H100" s="70" t="str">
        <f>IF(Tab_Base[[#This Row],[Data]]&lt;&gt;"",YEAR(Tab_Base[[#This Row],[Data]]),"-")</f>
        <v>-</v>
      </c>
    </row>
    <row r="101" spans="2:8" ht="17.25" thickBot="1" x14ac:dyDescent="0.3">
      <c r="B101" s="72"/>
      <c r="C101" s="66"/>
      <c r="D101" s="67"/>
      <c r="E101" s="68"/>
      <c r="F101" s="69"/>
      <c r="G101" s="70" t="str">
        <f>IF(Tab_Base[[#This Row],[Data]]&lt;&gt;"",MONTH(Tab_Base[[#This Row],[Data]]),"-")</f>
        <v>-</v>
      </c>
      <c r="H101" s="70" t="str">
        <f>IF(Tab_Base[[#This Row],[Data]]&lt;&gt;"",YEAR(Tab_Base[[#This Row],[Data]]),"-")</f>
        <v>-</v>
      </c>
    </row>
    <row r="102" spans="2:8" ht="17.25" thickBot="1" x14ac:dyDescent="0.3">
      <c r="B102" s="72"/>
      <c r="C102" s="66"/>
      <c r="D102" s="67"/>
      <c r="E102" s="68"/>
      <c r="F102" s="69"/>
      <c r="G102" s="70" t="str">
        <f>IF(Tab_Base[[#This Row],[Data]]&lt;&gt;"",MONTH(Tab_Base[[#This Row],[Data]]),"-")</f>
        <v>-</v>
      </c>
      <c r="H102" s="70" t="str">
        <f>IF(Tab_Base[[#This Row],[Data]]&lt;&gt;"",YEAR(Tab_Base[[#This Row],[Data]]),"-")</f>
        <v>-</v>
      </c>
    </row>
    <row r="103" spans="2:8" ht="17.25" thickBot="1" x14ac:dyDescent="0.3">
      <c r="B103" s="72"/>
      <c r="C103" s="66"/>
      <c r="D103" s="67"/>
      <c r="E103" s="68"/>
      <c r="F103" s="69"/>
      <c r="G103" s="70" t="str">
        <f>IF(Tab_Base[[#This Row],[Data]]&lt;&gt;"",MONTH(Tab_Base[[#This Row],[Data]]),"-")</f>
        <v>-</v>
      </c>
      <c r="H103" s="70" t="str">
        <f>IF(Tab_Base[[#This Row],[Data]]&lt;&gt;"",YEAR(Tab_Base[[#This Row],[Data]]),"-")</f>
        <v>-</v>
      </c>
    </row>
    <row r="104" spans="2:8" ht="17.25" thickBot="1" x14ac:dyDescent="0.3">
      <c r="B104" s="72"/>
      <c r="C104" s="66"/>
      <c r="D104" s="67"/>
      <c r="E104" s="68"/>
      <c r="F104" s="69"/>
      <c r="G104" s="70" t="str">
        <f>IF(Tab_Base[[#This Row],[Data]]&lt;&gt;"",MONTH(Tab_Base[[#This Row],[Data]]),"-")</f>
        <v>-</v>
      </c>
      <c r="H104" s="70" t="str">
        <f>IF(Tab_Base[[#This Row],[Data]]&lt;&gt;"",YEAR(Tab_Base[[#This Row],[Data]]),"-")</f>
        <v>-</v>
      </c>
    </row>
    <row r="105" spans="2:8" ht="17.25" thickBot="1" x14ac:dyDescent="0.3">
      <c r="B105" s="72"/>
      <c r="C105" s="66"/>
      <c r="D105" s="67"/>
      <c r="E105" s="68"/>
      <c r="F105" s="69"/>
      <c r="G105" s="70" t="str">
        <f>IF(Tab_Base[[#This Row],[Data]]&lt;&gt;"",MONTH(Tab_Base[[#This Row],[Data]]),"-")</f>
        <v>-</v>
      </c>
      <c r="H105" s="70" t="str">
        <f>IF(Tab_Base[[#This Row],[Data]]&lt;&gt;"",YEAR(Tab_Base[[#This Row],[Data]]),"-")</f>
        <v>-</v>
      </c>
    </row>
    <row r="106" spans="2:8" ht="17.25" thickBot="1" x14ac:dyDescent="0.3">
      <c r="B106" s="72"/>
      <c r="C106" s="66"/>
      <c r="D106" s="67"/>
      <c r="E106" s="68"/>
      <c r="F106" s="69"/>
      <c r="G106" s="70" t="str">
        <f>IF(Tab_Base[[#This Row],[Data]]&lt;&gt;"",MONTH(Tab_Base[[#This Row],[Data]]),"-")</f>
        <v>-</v>
      </c>
      <c r="H106" s="70" t="str">
        <f>IF(Tab_Base[[#This Row],[Data]]&lt;&gt;"",YEAR(Tab_Base[[#This Row],[Data]]),"-")</f>
        <v>-</v>
      </c>
    </row>
    <row r="107" spans="2:8" ht="17.25" thickBot="1" x14ac:dyDescent="0.3">
      <c r="B107" s="72"/>
      <c r="C107" s="66"/>
      <c r="D107" s="67"/>
      <c r="E107" s="68"/>
      <c r="F107" s="69"/>
      <c r="G107" s="70" t="str">
        <f>IF(Tab_Base[[#This Row],[Data]]&lt;&gt;"",MONTH(Tab_Base[[#This Row],[Data]]),"-")</f>
        <v>-</v>
      </c>
      <c r="H107" s="70" t="str">
        <f>IF(Tab_Base[[#This Row],[Data]]&lt;&gt;"",YEAR(Tab_Base[[#This Row],[Data]]),"-")</f>
        <v>-</v>
      </c>
    </row>
    <row r="108" spans="2:8" ht="17.25" thickBot="1" x14ac:dyDescent="0.3">
      <c r="B108" s="72"/>
      <c r="C108" s="66"/>
      <c r="D108" s="67"/>
      <c r="E108" s="68"/>
      <c r="F108" s="69"/>
      <c r="G108" s="70" t="str">
        <f>IF(Tab_Base[[#This Row],[Data]]&lt;&gt;"",MONTH(Tab_Base[[#This Row],[Data]]),"-")</f>
        <v>-</v>
      </c>
      <c r="H108" s="70" t="str">
        <f>IF(Tab_Base[[#This Row],[Data]]&lt;&gt;"",YEAR(Tab_Base[[#This Row],[Data]]),"-")</f>
        <v>-</v>
      </c>
    </row>
    <row r="109" spans="2:8" ht="17.25" thickBot="1" x14ac:dyDescent="0.3">
      <c r="B109" s="72"/>
      <c r="C109" s="66"/>
      <c r="D109" s="67"/>
      <c r="E109" s="68"/>
      <c r="F109" s="69"/>
      <c r="G109" s="70" t="str">
        <f>IF(Tab_Base[[#This Row],[Data]]&lt;&gt;"",MONTH(Tab_Base[[#This Row],[Data]]),"-")</f>
        <v>-</v>
      </c>
      <c r="H109" s="70" t="str">
        <f>IF(Tab_Base[[#This Row],[Data]]&lt;&gt;"",YEAR(Tab_Base[[#This Row],[Data]]),"-")</f>
        <v>-</v>
      </c>
    </row>
    <row r="110" spans="2:8" ht="17.25" thickBot="1" x14ac:dyDescent="0.3">
      <c r="B110" s="72"/>
      <c r="C110" s="66"/>
      <c r="D110" s="67"/>
      <c r="E110" s="68"/>
      <c r="F110" s="69"/>
      <c r="G110" s="70" t="str">
        <f>IF(Tab_Base[[#This Row],[Data]]&lt;&gt;"",MONTH(Tab_Base[[#This Row],[Data]]),"-")</f>
        <v>-</v>
      </c>
      <c r="H110" s="70" t="str">
        <f>IF(Tab_Base[[#This Row],[Data]]&lt;&gt;"",YEAR(Tab_Base[[#This Row],[Data]]),"-")</f>
        <v>-</v>
      </c>
    </row>
    <row r="111" spans="2:8" ht="17.25" thickBot="1" x14ac:dyDescent="0.3">
      <c r="B111" s="72"/>
      <c r="C111" s="66"/>
      <c r="D111" s="67"/>
      <c r="E111" s="68"/>
      <c r="F111" s="69"/>
      <c r="G111" s="70" t="str">
        <f>IF(Tab_Base[[#This Row],[Data]]&lt;&gt;"",MONTH(Tab_Base[[#This Row],[Data]]),"-")</f>
        <v>-</v>
      </c>
      <c r="H111" s="70" t="str">
        <f>IF(Tab_Base[[#This Row],[Data]]&lt;&gt;"",YEAR(Tab_Base[[#This Row],[Data]]),"-")</f>
        <v>-</v>
      </c>
    </row>
    <row r="112" spans="2:8" ht="17.25" thickBot="1" x14ac:dyDescent="0.3">
      <c r="B112" s="72"/>
      <c r="C112" s="66"/>
      <c r="D112" s="67"/>
      <c r="E112" s="68"/>
      <c r="F112" s="69"/>
      <c r="G112" s="70" t="str">
        <f>IF(Tab_Base[[#This Row],[Data]]&lt;&gt;"",MONTH(Tab_Base[[#This Row],[Data]]),"-")</f>
        <v>-</v>
      </c>
      <c r="H112" s="70" t="str">
        <f>IF(Tab_Base[[#This Row],[Data]]&lt;&gt;"",YEAR(Tab_Base[[#This Row],[Data]]),"-")</f>
        <v>-</v>
      </c>
    </row>
    <row r="113" spans="2:8" ht="17.25" thickBot="1" x14ac:dyDescent="0.3">
      <c r="B113" s="72"/>
      <c r="C113" s="66"/>
      <c r="D113" s="67"/>
      <c r="E113" s="68"/>
      <c r="F113" s="69"/>
      <c r="G113" s="70" t="str">
        <f>IF(Tab_Base[[#This Row],[Data]]&lt;&gt;"",MONTH(Tab_Base[[#This Row],[Data]]),"-")</f>
        <v>-</v>
      </c>
      <c r="H113" s="70" t="str">
        <f>IF(Tab_Base[[#This Row],[Data]]&lt;&gt;"",YEAR(Tab_Base[[#This Row],[Data]]),"-")</f>
        <v>-</v>
      </c>
    </row>
    <row r="114" spans="2:8" ht="17.25" thickBot="1" x14ac:dyDescent="0.3">
      <c r="B114" s="72"/>
      <c r="C114" s="66"/>
      <c r="D114" s="67"/>
      <c r="E114" s="68"/>
      <c r="F114" s="69"/>
      <c r="G114" s="70" t="str">
        <f>IF(Tab_Base[[#This Row],[Data]]&lt;&gt;"",MONTH(Tab_Base[[#This Row],[Data]]),"-")</f>
        <v>-</v>
      </c>
      <c r="H114" s="70" t="str">
        <f>IF(Tab_Base[[#This Row],[Data]]&lt;&gt;"",YEAR(Tab_Base[[#This Row],[Data]]),"-")</f>
        <v>-</v>
      </c>
    </row>
    <row r="115" spans="2:8" ht="17.25" thickBot="1" x14ac:dyDescent="0.3">
      <c r="B115" s="72"/>
      <c r="C115" s="66"/>
      <c r="D115" s="67"/>
      <c r="E115" s="68"/>
      <c r="F115" s="69"/>
      <c r="G115" s="70" t="str">
        <f>IF(Tab_Base[[#This Row],[Data]]&lt;&gt;"",MONTH(Tab_Base[[#This Row],[Data]]),"-")</f>
        <v>-</v>
      </c>
      <c r="H115" s="70" t="str">
        <f>IF(Tab_Base[[#This Row],[Data]]&lt;&gt;"",YEAR(Tab_Base[[#This Row],[Data]]),"-")</f>
        <v>-</v>
      </c>
    </row>
    <row r="116" spans="2:8" ht="17.25" thickBot="1" x14ac:dyDescent="0.3">
      <c r="B116" s="72"/>
      <c r="C116" s="66"/>
      <c r="D116" s="67"/>
      <c r="E116" s="68"/>
      <c r="F116" s="69"/>
      <c r="G116" s="70" t="str">
        <f>IF(Tab_Base[[#This Row],[Data]]&lt;&gt;"",MONTH(Tab_Base[[#This Row],[Data]]),"-")</f>
        <v>-</v>
      </c>
      <c r="H116" s="70" t="str">
        <f>IF(Tab_Base[[#This Row],[Data]]&lt;&gt;"",YEAR(Tab_Base[[#This Row],[Data]]),"-")</f>
        <v>-</v>
      </c>
    </row>
    <row r="117" spans="2:8" ht="17.25" thickBot="1" x14ac:dyDescent="0.3">
      <c r="B117" s="72"/>
      <c r="C117" s="66"/>
      <c r="D117" s="67"/>
      <c r="E117" s="68"/>
      <c r="F117" s="69"/>
      <c r="G117" s="70" t="str">
        <f>IF(Tab_Base[[#This Row],[Data]]&lt;&gt;"",MONTH(Tab_Base[[#This Row],[Data]]),"-")</f>
        <v>-</v>
      </c>
      <c r="H117" s="70" t="str">
        <f>IF(Tab_Base[[#This Row],[Data]]&lt;&gt;"",YEAR(Tab_Base[[#This Row],[Data]]),"-")</f>
        <v>-</v>
      </c>
    </row>
    <row r="118" spans="2:8" ht="17.25" thickBot="1" x14ac:dyDescent="0.3">
      <c r="B118" s="72"/>
      <c r="C118" s="66"/>
      <c r="D118" s="67"/>
      <c r="E118" s="68"/>
      <c r="F118" s="69"/>
      <c r="G118" s="70" t="str">
        <f>IF(Tab_Base[[#This Row],[Data]]&lt;&gt;"",MONTH(Tab_Base[[#This Row],[Data]]),"-")</f>
        <v>-</v>
      </c>
      <c r="H118" s="70" t="str">
        <f>IF(Tab_Base[[#This Row],[Data]]&lt;&gt;"",YEAR(Tab_Base[[#This Row],[Data]]),"-")</f>
        <v>-</v>
      </c>
    </row>
    <row r="119" spans="2:8" ht="17.25" thickBot="1" x14ac:dyDescent="0.3">
      <c r="B119" s="72"/>
      <c r="C119" s="66"/>
      <c r="D119" s="67"/>
      <c r="E119" s="68"/>
      <c r="F119" s="69"/>
      <c r="G119" s="70" t="str">
        <f>IF(Tab_Base[[#This Row],[Data]]&lt;&gt;"",MONTH(Tab_Base[[#This Row],[Data]]),"-")</f>
        <v>-</v>
      </c>
      <c r="H119" s="70" t="str">
        <f>IF(Tab_Base[[#This Row],[Data]]&lt;&gt;"",YEAR(Tab_Base[[#This Row],[Data]]),"-")</f>
        <v>-</v>
      </c>
    </row>
    <row r="120" spans="2:8" ht="17.25" thickBot="1" x14ac:dyDescent="0.3">
      <c r="B120" s="72"/>
      <c r="C120" s="66"/>
      <c r="D120" s="67"/>
      <c r="E120" s="68"/>
      <c r="F120" s="69"/>
      <c r="G120" s="70" t="str">
        <f>IF(Tab_Base[[#This Row],[Data]]&lt;&gt;"",MONTH(Tab_Base[[#This Row],[Data]]),"-")</f>
        <v>-</v>
      </c>
      <c r="H120" s="70" t="str">
        <f>IF(Tab_Base[[#This Row],[Data]]&lt;&gt;"",YEAR(Tab_Base[[#This Row],[Data]]),"-")</f>
        <v>-</v>
      </c>
    </row>
    <row r="121" spans="2:8" ht="17.25" thickBot="1" x14ac:dyDescent="0.3">
      <c r="B121" s="72"/>
      <c r="C121" s="66"/>
      <c r="D121" s="67"/>
      <c r="E121" s="68"/>
      <c r="F121" s="69"/>
      <c r="G121" s="70" t="str">
        <f>IF(Tab_Base[[#This Row],[Data]]&lt;&gt;"",MONTH(Tab_Base[[#This Row],[Data]]),"-")</f>
        <v>-</v>
      </c>
      <c r="H121" s="70" t="str">
        <f>IF(Tab_Base[[#This Row],[Data]]&lt;&gt;"",YEAR(Tab_Base[[#This Row],[Data]]),"-")</f>
        <v>-</v>
      </c>
    </row>
    <row r="122" spans="2:8" ht="17.25" thickBot="1" x14ac:dyDescent="0.3">
      <c r="B122" s="72"/>
      <c r="C122" s="66"/>
      <c r="D122" s="67"/>
      <c r="E122" s="68"/>
      <c r="F122" s="69"/>
      <c r="G122" s="70" t="str">
        <f>IF(Tab_Base[[#This Row],[Data]]&lt;&gt;"",MONTH(Tab_Base[[#This Row],[Data]]),"-")</f>
        <v>-</v>
      </c>
      <c r="H122" s="70" t="str">
        <f>IF(Tab_Base[[#This Row],[Data]]&lt;&gt;"",YEAR(Tab_Base[[#This Row],[Data]]),"-")</f>
        <v>-</v>
      </c>
    </row>
    <row r="123" spans="2:8" ht="17.25" thickBot="1" x14ac:dyDescent="0.3">
      <c r="B123" s="72"/>
      <c r="C123" s="66"/>
      <c r="D123" s="67"/>
      <c r="E123" s="68"/>
      <c r="F123" s="69"/>
      <c r="G123" s="70" t="str">
        <f>IF(Tab_Base[[#This Row],[Data]]&lt;&gt;"",MONTH(Tab_Base[[#This Row],[Data]]),"-")</f>
        <v>-</v>
      </c>
      <c r="H123" s="70" t="str">
        <f>IF(Tab_Base[[#This Row],[Data]]&lt;&gt;"",YEAR(Tab_Base[[#This Row],[Data]]),"-")</f>
        <v>-</v>
      </c>
    </row>
    <row r="124" spans="2:8" ht="17.25" thickBot="1" x14ac:dyDescent="0.3">
      <c r="B124" s="72"/>
      <c r="C124" s="66"/>
      <c r="D124" s="67"/>
      <c r="E124" s="68"/>
      <c r="F124" s="69"/>
      <c r="G124" s="70" t="str">
        <f>IF(Tab_Base[[#This Row],[Data]]&lt;&gt;"",MONTH(Tab_Base[[#This Row],[Data]]),"-")</f>
        <v>-</v>
      </c>
      <c r="H124" s="70" t="str">
        <f>IF(Tab_Base[[#This Row],[Data]]&lt;&gt;"",YEAR(Tab_Base[[#This Row],[Data]]),"-")</f>
        <v>-</v>
      </c>
    </row>
    <row r="125" spans="2:8" ht="17.25" thickBot="1" x14ac:dyDescent="0.3">
      <c r="B125" s="72"/>
      <c r="C125" s="66"/>
      <c r="D125" s="67"/>
      <c r="E125" s="68"/>
      <c r="F125" s="69"/>
      <c r="G125" s="70" t="str">
        <f>IF(Tab_Base[[#This Row],[Data]]&lt;&gt;"",MONTH(Tab_Base[[#This Row],[Data]]),"-")</f>
        <v>-</v>
      </c>
      <c r="H125" s="70" t="str">
        <f>IF(Tab_Base[[#This Row],[Data]]&lt;&gt;"",YEAR(Tab_Base[[#This Row],[Data]]),"-")</f>
        <v>-</v>
      </c>
    </row>
    <row r="126" spans="2:8" ht="17.25" thickBot="1" x14ac:dyDescent="0.3">
      <c r="B126" s="72"/>
      <c r="C126" s="66"/>
      <c r="D126" s="67"/>
      <c r="E126" s="68"/>
      <c r="F126" s="69"/>
      <c r="G126" s="70" t="str">
        <f>IF(Tab_Base[[#This Row],[Data]]&lt;&gt;"",MONTH(Tab_Base[[#This Row],[Data]]),"-")</f>
        <v>-</v>
      </c>
      <c r="H126" s="70" t="str">
        <f>IF(Tab_Base[[#This Row],[Data]]&lt;&gt;"",YEAR(Tab_Base[[#This Row],[Data]]),"-")</f>
        <v>-</v>
      </c>
    </row>
    <row r="127" spans="2:8" ht="17.25" thickBot="1" x14ac:dyDescent="0.3">
      <c r="B127" s="72"/>
      <c r="C127" s="66"/>
      <c r="D127" s="67"/>
      <c r="E127" s="68"/>
      <c r="F127" s="69"/>
      <c r="G127" s="70" t="str">
        <f>IF(Tab_Base[[#This Row],[Data]]&lt;&gt;"",MONTH(Tab_Base[[#This Row],[Data]]),"-")</f>
        <v>-</v>
      </c>
      <c r="H127" s="70" t="str">
        <f>IF(Tab_Base[[#This Row],[Data]]&lt;&gt;"",YEAR(Tab_Base[[#This Row],[Data]]),"-")</f>
        <v>-</v>
      </c>
    </row>
    <row r="128" spans="2:8" ht="17.25" thickBot="1" x14ac:dyDescent="0.3">
      <c r="B128" s="72"/>
      <c r="C128" s="66"/>
      <c r="D128" s="67"/>
      <c r="E128" s="68"/>
      <c r="F128" s="69"/>
      <c r="G128" s="70" t="str">
        <f>IF(Tab_Base[[#This Row],[Data]]&lt;&gt;"",MONTH(Tab_Base[[#This Row],[Data]]),"-")</f>
        <v>-</v>
      </c>
      <c r="H128" s="70" t="str">
        <f>IF(Tab_Base[[#This Row],[Data]]&lt;&gt;"",YEAR(Tab_Base[[#This Row],[Data]]),"-")</f>
        <v>-</v>
      </c>
    </row>
    <row r="129" spans="2:8" ht="17.25" thickBot="1" x14ac:dyDescent="0.3">
      <c r="B129" s="72"/>
      <c r="C129" s="66"/>
      <c r="D129" s="67"/>
      <c r="E129" s="68"/>
      <c r="F129" s="69"/>
      <c r="G129" s="70" t="str">
        <f>IF(Tab_Base[[#This Row],[Data]]&lt;&gt;"",MONTH(Tab_Base[[#This Row],[Data]]),"-")</f>
        <v>-</v>
      </c>
      <c r="H129" s="70" t="str">
        <f>IF(Tab_Base[[#This Row],[Data]]&lt;&gt;"",YEAR(Tab_Base[[#This Row],[Data]]),"-")</f>
        <v>-</v>
      </c>
    </row>
    <row r="130" spans="2:8" ht="17.25" thickBot="1" x14ac:dyDescent="0.3">
      <c r="B130" s="72"/>
      <c r="C130" s="66"/>
      <c r="D130" s="67"/>
      <c r="E130" s="68"/>
      <c r="F130" s="69"/>
      <c r="G130" s="70" t="str">
        <f>IF(Tab_Base[[#This Row],[Data]]&lt;&gt;"",MONTH(Tab_Base[[#This Row],[Data]]),"-")</f>
        <v>-</v>
      </c>
      <c r="H130" s="70" t="str">
        <f>IF(Tab_Base[[#This Row],[Data]]&lt;&gt;"",YEAR(Tab_Base[[#This Row],[Data]]),"-")</f>
        <v>-</v>
      </c>
    </row>
    <row r="131" spans="2:8" ht="17.25" thickBot="1" x14ac:dyDescent="0.3">
      <c r="B131" s="72"/>
      <c r="C131" s="66"/>
      <c r="D131" s="67"/>
      <c r="E131" s="68"/>
      <c r="F131" s="69"/>
      <c r="G131" s="70" t="str">
        <f>IF(Tab_Base[[#This Row],[Data]]&lt;&gt;"",MONTH(Tab_Base[[#This Row],[Data]]),"-")</f>
        <v>-</v>
      </c>
      <c r="H131" s="70" t="str">
        <f>IF(Tab_Base[[#This Row],[Data]]&lt;&gt;"",YEAR(Tab_Base[[#This Row],[Data]]),"-")</f>
        <v>-</v>
      </c>
    </row>
    <row r="132" spans="2:8" ht="17.25" thickBot="1" x14ac:dyDescent="0.3">
      <c r="B132" s="72"/>
      <c r="C132" s="66"/>
      <c r="D132" s="67"/>
      <c r="E132" s="68"/>
      <c r="F132" s="69"/>
      <c r="G132" s="70" t="str">
        <f>IF(Tab_Base[[#This Row],[Data]]&lt;&gt;"",MONTH(Tab_Base[[#This Row],[Data]]),"-")</f>
        <v>-</v>
      </c>
      <c r="H132" s="70" t="str">
        <f>IF(Tab_Base[[#This Row],[Data]]&lt;&gt;"",YEAR(Tab_Base[[#This Row],[Data]]),"-")</f>
        <v>-</v>
      </c>
    </row>
    <row r="133" spans="2:8" ht="17.25" thickBot="1" x14ac:dyDescent="0.3">
      <c r="B133" s="72"/>
      <c r="C133" s="66"/>
      <c r="D133" s="67"/>
      <c r="E133" s="68"/>
      <c r="F133" s="69"/>
      <c r="G133" s="70" t="str">
        <f>IF(Tab_Base[[#This Row],[Data]]&lt;&gt;"",MONTH(Tab_Base[[#This Row],[Data]]),"-")</f>
        <v>-</v>
      </c>
      <c r="H133" s="70" t="str">
        <f>IF(Tab_Base[[#This Row],[Data]]&lt;&gt;"",YEAR(Tab_Base[[#This Row],[Data]]),"-")</f>
        <v>-</v>
      </c>
    </row>
    <row r="134" spans="2:8" ht="17.25" thickBot="1" x14ac:dyDescent="0.3">
      <c r="B134" s="72"/>
      <c r="C134" s="66"/>
      <c r="D134" s="67"/>
      <c r="E134" s="68"/>
      <c r="F134" s="69"/>
      <c r="G134" s="70" t="str">
        <f>IF(Tab_Base[[#This Row],[Data]]&lt;&gt;"",MONTH(Tab_Base[[#This Row],[Data]]),"-")</f>
        <v>-</v>
      </c>
      <c r="H134" s="70" t="str">
        <f>IF(Tab_Base[[#This Row],[Data]]&lt;&gt;"",YEAR(Tab_Base[[#This Row],[Data]]),"-")</f>
        <v>-</v>
      </c>
    </row>
    <row r="135" spans="2:8" ht="17.25" thickBot="1" x14ac:dyDescent="0.3">
      <c r="B135" s="72"/>
      <c r="C135" s="66"/>
      <c r="D135" s="67"/>
      <c r="E135" s="68"/>
      <c r="F135" s="69"/>
      <c r="G135" s="70" t="str">
        <f>IF(Tab_Base[[#This Row],[Data]]&lt;&gt;"",MONTH(Tab_Base[[#This Row],[Data]]),"-")</f>
        <v>-</v>
      </c>
      <c r="H135" s="70" t="str">
        <f>IF(Tab_Base[[#This Row],[Data]]&lt;&gt;"",YEAR(Tab_Base[[#This Row],[Data]]),"-")</f>
        <v>-</v>
      </c>
    </row>
    <row r="136" spans="2:8" ht="17.25" thickBot="1" x14ac:dyDescent="0.3">
      <c r="B136" s="72"/>
      <c r="C136" s="66"/>
      <c r="D136" s="67"/>
      <c r="E136" s="68"/>
      <c r="F136" s="69"/>
      <c r="G136" s="70" t="str">
        <f>IF(Tab_Base[[#This Row],[Data]]&lt;&gt;"",MONTH(Tab_Base[[#This Row],[Data]]),"-")</f>
        <v>-</v>
      </c>
      <c r="H136" s="70" t="str">
        <f>IF(Tab_Base[[#This Row],[Data]]&lt;&gt;"",YEAR(Tab_Base[[#This Row],[Data]]),"-")</f>
        <v>-</v>
      </c>
    </row>
    <row r="137" spans="2:8" ht="17.25" thickBot="1" x14ac:dyDescent="0.3">
      <c r="B137" s="72"/>
      <c r="C137" s="66"/>
      <c r="D137" s="67"/>
      <c r="E137" s="68"/>
      <c r="F137" s="69"/>
      <c r="G137" s="70" t="str">
        <f>IF(Tab_Base[[#This Row],[Data]]&lt;&gt;"",MONTH(Tab_Base[[#This Row],[Data]]),"-")</f>
        <v>-</v>
      </c>
      <c r="H137" s="70" t="str">
        <f>IF(Tab_Base[[#This Row],[Data]]&lt;&gt;"",YEAR(Tab_Base[[#This Row],[Data]]),"-")</f>
        <v>-</v>
      </c>
    </row>
    <row r="138" spans="2:8" ht="17.25" thickBot="1" x14ac:dyDescent="0.3">
      <c r="B138" s="72"/>
      <c r="C138" s="66"/>
      <c r="D138" s="67"/>
      <c r="E138" s="68"/>
      <c r="F138" s="69"/>
      <c r="G138" s="70" t="str">
        <f>IF(Tab_Base[[#This Row],[Data]]&lt;&gt;"",MONTH(Tab_Base[[#This Row],[Data]]),"-")</f>
        <v>-</v>
      </c>
      <c r="H138" s="70" t="str">
        <f>IF(Tab_Base[[#This Row],[Data]]&lt;&gt;"",YEAR(Tab_Base[[#This Row],[Data]]),"-")</f>
        <v>-</v>
      </c>
    </row>
    <row r="139" spans="2:8" ht="17.25" thickBot="1" x14ac:dyDescent="0.3">
      <c r="B139" s="72"/>
      <c r="C139" s="66"/>
      <c r="D139" s="67"/>
      <c r="E139" s="68"/>
      <c r="F139" s="69"/>
      <c r="G139" s="70" t="str">
        <f>IF(Tab_Base[[#This Row],[Data]]&lt;&gt;"",MONTH(Tab_Base[[#This Row],[Data]]),"-")</f>
        <v>-</v>
      </c>
      <c r="H139" s="70" t="str">
        <f>IF(Tab_Base[[#This Row],[Data]]&lt;&gt;"",YEAR(Tab_Base[[#This Row],[Data]]),"-")</f>
        <v>-</v>
      </c>
    </row>
    <row r="140" spans="2:8" ht="17.25" thickBot="1" x14ac:dyDescent="0.3">
      <c r="B140" s="72"/>
      <c r="C140" s="66"/>
      <c r="D140" s="67"/>
      <c r="E140" s="68"/>
      <c r="F140" s="69"/>
      <c r="G140" s="70" t="str">
        <f>IF(Tab_Base[[#This Row],[Data]]&lt;&gt;"",MONTH(Tab_Base[[#This Row],[Data]]),"-")</f>
        <v>-</v>
      </c>
      <c r="H140" s="70" t="str">
        <f>IF(Tab_Base[[#This Row],[Data]]&lt;&gt;"",YEAR(Tab_Base[[#This Row],[Data]]),"-")</f>
        <v>-</v>
      </c>
    </row>
    <row r="141" spans="2:8" ht="17.25" thickBot="1" x14ac:dyDescent="0.3">
      <c r="B141" s="72"/>
      <c r="C141" s="66"/>
      <c r="D141" s="67"/>
      <c r="E141" s="68"/>
      <c r="F141" s="69"/>
      <c r="G141" s="70" t="str">
        <f>IF(Tab_Base[[#This Row],[Data]]&lt;&gt;"",MONTH(Tab_Base[[#This Row],[Data]]),"-")</f>
        <v>-</v>
      </c>
      <c r="H141" s="70" t="str">
        <f>IF(Tab_Base[[#This Row],[Data]]&lt;&gt;"",YEAR(Tab_Base[[#This Row],[Data]]),"-")</f>
        <v>-</v>
      </c>
    </row>
    <row r="142" spans="2:8" ht="17.25" thickBot="1" x14ac:dyDescent="0.3">
      <c r="B142" s="72"/>
      <c r="C142" s="66"/>
      <c r="D142" s="67"/>
      <c r="E142" s="68"/>
      <c r="F142" s="69"/>
      <c r="G142" s="70" t="str">
        <f>IF(Tab_Base[[#This Row],[Data]]&lt;&gt;"",MONTH(Tab_Base[[#This Row],[Data]]),"-")</f>
        <v>-</v>
      </c>
      <c r="H142" s="70" t="str">
        <f>IF(Tab_Base[[#This Row],[Data]]&lt;&gt;"",YEAR(Tab_Base[[#This Row],[Data]]),"-")</f>
        <v>-</v>
      </c>
    </row>
    <row r="143" spans="2:8" ht="17.25" thickBot="1" x14ac:dyDescent="0.3">
      <c r="B143" s="72"/>
      <c r="C143" s="66"/>
      <c r="D143" s="67"/>
      <c r="E143" s="68"/>
      <c r="F143" s="69"/>
      <c r="G143" s="70" t="str">
        <f>IF(Tab_Base[[#This Row],[Data]]&lt;&gt;"",MONTH(Tab_Base[[#This Row],[Data]]),"-")</f>
        <v>-</v>
      </c>
      <c r="H143" s="70" t="str">
        <f>IF(Tab_Base[[#This Row],[Data]]&lt;&gt;"",YEAR(Tab_Base[[#This Row],[Data]]),"-")</f>
        <v>-</v>
      </c>
    </row>
    <row r="144" spans="2:8" ht="17.25" thickBot="1" x14ac:dyDescent="0.3">
      <c r="B144" s="72"/>
      <c r="C144" s="66"/>
      <c r="D144" s="67"/>
      <c r="E144" s="68"/>
      <c r="F144" s="69"/>
      <c r="G144" s="70" t="str">
        <f>IF(Tab_Base[[#This Row],[Data]]&lt;&gt;"",MONTH(Tab_Base[[#This Row],[Data]]),"-")</f>
        <v>-</v>
      </c>
      <c r="H144" s="70" t="str">
        <f>IF(Tab_Base[[#This Row],[Data]]&lt;&gt;"",YEAR(Tab_Base[[#This Row],[Data]]),"-")</f>
        <v>-</v>
      </c>
    </row>
    <row r="145" spans="2:8" ht="17.25" thickBot="1" x14ac:dyDescent="0.3">
      <c r="B145" s="72"/>
      <c r="C145" s="66"/>
      <c r="D145" s="67"/>
      <c r="E145" s="68"/>
      <c r="F145" s="69"/>
      <c r="G145" s="70" t="str">
        <f>IF(Tab_Base[[#This Row],[Data]]&lt;&gt;"",MONTH(Tab_Base[[#This Row],[Data]]),"-")</f>
        <v>-</v>
      </c>
      <c r="H145" s="70" t="str">
        <f>IF(Tab_Base[[#This Row],[Data]]&lt;&gt;"",YEAR(Tab_Base[[#This Row],[Data]]),"-")</f>
        <v>-</v>
      </c>
    </row>
    <row r="146" spans="2:8" ht="17.25" thickBot="1" x14ac:dyDescent="0.3">
      <c r="B146" s="72"/>
      <c r="C146" s="66"/>
      <c r="D146" s="67"/>
      <c r="E146" s="68"/>
      <c r="F146" s="69"/>
      <c r="G146" s="70" t="str">
        <f>IF(Tab_Base[[#This Row],[Data]]&lt;&gt;"",MONTH(Tab_Base[[#This Row],[Data]]),"-")</f>
        <v>-</v>
      </c>
      <c r="H146" s="70" t="str">
        <f>IF(Tab_Base[[#This Row],[Data]]&lt;&gt;"",YEAR(Tab_Base[[#This Row],[Data]]),"-")</f>
        <v>-</v>
      </c>
    </row>
    <row r="147" spans="2:8" ht="17.25" thickBot="1" x14ac:dyDescent="0.3">
      <c r="B147" s="72"/>
      <c r="C147" s="66"/>
      <c r="D147" s="67"/>
      <c r="E147" s="68"/>
      <c r="F147" s="69"/>
      <c r="G147" s="70" t="str">
        <f>IF(Tab_Base[[#This Row],[Data]]&lt;&gt;"",MONTH(Tab_Base[[#This Row],[Data]]),"-")</f>
        <v>-</v>
      </c>
      <c r="H147" s="70" t="str">
        <f>IF(Tab_Base[[#This Row],[Data]]&lt;&gt;"",YEAR(Tab_Base[[#This Row],[Data]]),"-")</f>
        <v>-</v>
      </c>
    </row>
    <row r="148" spans="2:8" ht="17.25" thickBot="1" x14ac:dyDescent="0.3">
      <c r="B148" s="72"/>
      <c r="C148" s="66"/>
      <c r="D148" s="67"/>
      <c r="E148" s="68"/>
      <c r="F148" s="69"/>
      <c r="G148" s="70" t="str">
        <f>IF(Tab_Base[[#This Row],[Data]]&lt;&gt;"",MONTH(Tab_Base[[#This Row],[Data]]),"-")</f>
        <v>-</v>
      </c>
      <c r="H148" s="70" t="str">
        <f>IF(Tab_Base[[#This Row],[Data]]&lt;&gt;"",YEAR(Tab_Base[[#This Row],[Data]]),"-")</f>
        <v>-</v>
      </c>
    </row>
    <row r="149" spans="2:8" ht="17.25" thickBot="1" x14ac:dyDescent="0.3">
      <c r="B149" s="72"/>
      <c r="C149" s="66"/>
      <c r="D149" s="67"/>
      <c r="E149" s="68"/>
      <c r="F149" s="69"/>
      <c r="G149" s="70" t="str">
        <f>IF(Tab_Base[[#This Row],[Data]]&lt;&gt;"",MONTH(Tab_Base[[#This Row],[Data]]),"-")</f>
        <v>-</v>
      </c>
      <c r="H149" s="70" t="str">
        <f>IF(Tab_Base[[#This Row],[Data]]&lt;&gt;"",YEAR(Tab_Base[[#This Row],[Data]]),"-")</f>
        <v>-</v>
      </c>
    </row>
    <row r="150" spans="2:8" ht="17.25" thickBot="1" x14ac:dyDescent="0.3">
      <c r="B150" s="72"/>
      <c r="C150" s="66"/>
      <c r="D150" s="67"/>
      <c r="E150" s="68"/>
      <c r="F150" s="69"/>
      <c r="G150" s="70" t="str">
        <f>IF(Tab_Base[[#This Row],[Data]]&lt;&gt;"",MONTH(Tab_Base[[#This Row],[Data]]),"-")</f>
        <v>-</v>
      </c>
      <c r="H150" s="70" t="str">
        <f>IF(Tab_Base[[#This Row],[Data]]&lt;&gt;"",YEAR(Tab_Base[[#This Row],[Data]]),"-")</f>
        <v>-</v>
      </c>
    </row>
    <row r="151" spans="2:8" ht="17.25" thickBot="1" x14ac:dyDescent="0.3">
      <c r="B151" s="72"/>
      <c r="C151" s="66"/>
      <c r="D151" s="67"/>
      <c r="E151" s="68"/>
      <c r="F151" s="69"/>
      <c r="G151" s="70" t="str">
        <f>IF(Tab_Base[[#This Row],[Data]]&lt;&gt;"",MONTH(Tab_Base[[#This Row],[Data]]),"-")</f>
        <v>-</v>
      </c>
      <c r="H151" s="70" t="str">
        <f>IF(Tab_Base[[#This Row],[Data]]&lt;&gt;"",YEAR(Tab_Base[[#This Row],[Data]]),"-")</f>
        <v>-</v>
      </c>
    </row>
    <row r="152" spans="2:8" ht="17.25" thickBot="1" x14ac:dyDescent="0.3">
      <c r="B152" s="72"/>
      <c r="C152" s="66"/>
      <c r="D152" s="67"/>
      <c r="E152" s="68"/>
      <c r="F152" s="69"/>
      <c r="G152" s="70" t="str">
        <f>IF(Tab_Base[[#This Row],[Data]]&lt;&gt;"",MONTH(Tab_Base[[#This Row],[Data]]),"-")</f>
        <v>-</v>
      </c>
      <c r="H152" s="70" t="str">
        <f>IF(Tab_Base[[#This Row],[Data]]&lt;&gt;"",YEAR(Tab_Base[[#This Row],[Data]]),"-")</f>
        <v>-</v>
      </c>
    </row>
    <row r="153" spans="2:8" ht="17.25" thickBot="1" x14ac:dyDescent="0.3">
      <c r="B153" s="72"/>
      <c r="C153" s="66"/>
      <c r="D153" s="67"/>
      <c r="E153" s="68"/>
      <c r="F153" s="69"/>
      <c r="G153" s="70" t="str">
        <f>IF(Tab_Base[[#This Row],[Data]]&lt;&gt;"",MONTH(Tab_Base[[#This Row],[Data]]),"-")</f>
        <v>-</v>
      </c>
      <c r="H153" s="70" t="str">
        <f>IF(Tab_Base[[#This Row],[Data]]&lt;&gt;"",YEAR(Tab_Base[[#This Row],[Data]]),"-")</f>
        <v>-</v>
      </c>
    </row>
    <row r="154" spans="2:8" ht="17.25" thickBot="1" x14ac:dyDescent="0.3">
      <c r="B154" s="72"/>
      <c r="C154" s="66"/>
      <c r="D154" s="67"/>
      <c r="E154" s="68"/>
      <c r="F154" s="69"/>
      <c r="G154" s="70" t="str">
        <f>IF(Tab_Base[[#This Row],[Data]]&lt;&gt;"",MONTH(Tab_Base[[#This Row],[Data]]),"-")</f>
        <v>-</v>
      </c>
      <c r="H154" s="70" t="str">
        <f>IF(Tab_Base[[#This Row],[Data]]&lt;&gt;"",YEAR(Tab_Base[[#This Row],[Data]]),"-")</f>
        <v>-</v>
      </c>
    </row>
    <row r="155" spans="2:8" ht="17.25" thickBot="1" x14ac:dyDescent="0.3">
      <c r="B155" s="72"/>
      <c r="C155" s="66"/>
      <c r="D155" s="67"/>
      <c r="E155" s="68"/>
      <c r="F155" s="69"/>
      <c r="G155" s="70" t="str">
        <f>IF(Tab_Base[[#This Row],[Data]]&lt;&gt;"",MONTH(Tab_Base[[#This Row],[Data]]),"-")</f>
        <v>-</v>
      </c>
      <c r="H155" s="70" t="str">
        <f>IF(Tab_Base[[#This Row],[Data]]&lt;&gt;"",YEAR(Tab_Base[[#This Row],[Data]]),"-")</f>
        <v>-</v>
      </c>
    </row>
    <row r="156" spans="2:8" ht="17.25" thickBot="1" x14ac:dyDescent="0.3">
      <c r="B156" s="72"/>
      <c r="C156" s="66"/>
      <c r="D156" s="67"/>
      <c r="E156" s="68"/>
      <c r="F156" s="69"/>
      <c r="G156" s="70" t="str">
        <f>IF(Tab_Base[[#This Row],[Data]]&lt;&gt;"",MONTH(Tab_Base[[#This Row],[Data]]),"-")</f>
        <v>-</v>
      </c>
      <c r="H156" s="70" t="str">
        <f>IF(Tab_Base[[#This Row],[Data]]&lt;&gt;"",YEAR(Tab_Base[[#This Row],[Data]]),"-")</f>
        <v>-</v>
      </c>
    </row>
    <row r="157" spans="2:8" ht="17.25" thickBot="1" x14ac:dyDescent="0.3">
      <c r="B157" s="72"/>
      <c r="C157" s="66"/>
      <c r="D157" s="67"/>
      <c r="E157" s="68"/>
      <c r="F157" s="69"/>
      <c r="G157" s="70" t="str">
        <f>IF(Tab_Base[[#This Row],[Data]]&lt;&gt;"",MONTH(Tab_Base[[#This Row],[Data]]),"-")</f>
        <v>-</v>
      </c>
      <c r="H157" s="70" t="str">
        <f>IF(Tab_Base[[#This Row],[Data]]&lt;&gt;"",YEAR(Tab_Base[[#This Row],[Data]]),"-")</f>
        <v>-</v>
      </c>
    </row>
    <row r="158" spans="2:8" ht="17.25" thickBot="1" x14ac:dyDescent="0.3">
      <c r="B158" s="72"/>
      <c r="C158" s="66"/>
      <c r="D158" s="67"/>
      <c r="E158" s="68"/>
      <c r="F158" s="69"/>
      <c r="G158" s="70" t="str">
        <f>IF(Tab_Base[[#This Row],[Data]]&lt;&gt;"",MONTH(Tab_Base[[#This Row],[Data]]),"-")</f>
        <v>-</v>
      </c>
      <c r="H158" s="70" t="str">
        <f>IF(Tab_Base[[#This Row],[Data]]&lt;&gt;"",YEAR(Tab_Base[[#This Row],[Data]]),"-")</f>
        <v>-</v>
      </c>
    </row>
    <row r="159" spans="2:8" ht="17.25" thickBot="1" x14ac:dyDescent="0.3">
      <c r="B159" s="72"/>
      <c r="C159" s="66"/>
      <c r="D159" s="67"/>
      <c r="E159" s="68"/>
      <c r="F159" s="69"/>
      <c r="G159" s="70" t="str">
        <f>IF(Tab_Base[[#This Row],[Data]]&lt;&gt;"",MONTH(Tab_Base[[#This Row],[Data]]),"-")</f>
        <v>-</v>
      </c>
      <c r="H159" s="70" t="str">
        <f>IF(Tab_Base[[#This Row],[Data]]&lt;&gt;"",YEAR(Tab_Base[[#This Row],[Data]]),"-")</f>
        <v>-</v>
      </c>
    </row>
    <row r="160" spans="2:8" ht="17.25" thickBot="1" x14ac:dyDescent="0.3">
      <c r="B160" s="72"/>
      <c r="C160" s="66"/>
      <c r="D160" s="67"/>
      <c r="E160" s="68"/>
      <c r="F160" s="69"/>
      <c r="G160" s="70" t="str">
        <f>IF(Tab_Base[[#This Row],[Data]]&lt;&gt;"",MONTH(Tab_Base[[#This Row],[Data]]),"-")</f>
        <v>-</v>
      </c>
      <c r="H160" s="70" t="str">
        <f>IF(Tab_Base[[#This Row],[Data]]&lt;&gt;"",YEAR(Tab_Base[[#This Row],[Data]]),"-")</f>
        <v>-</v>
      </c>
    </row>
    <row r="161" spans="2:8" ht="17.25" thickBot="1" x14ac:dyDescent="0.3">
      <c r="B161" s="72"/>
      <c r="C161" s="66"/>
      <c r="D161" s="67"/>
      <c r="E161" s="68"/>
      <c r="F161" s="69"/>
      <c r="G161" s="70" t="str">
        <f>IF(Tab_Base[[#This Row],[Data]]&lt;&gt;"",MONTH(Tab_Base[[#This Row],[Data]]),"-")</f>
        <v>-</v>
      </c>
      <c r="H161" s="70" t="str">
        <f>IF(Tab_Base[[#This Row],[Data]]&lt;&gt;"",YEAR(Tab_Base[[#This Row],[Data]]),"-")</f>
        <v>-</v>
      </c>
    </row>
    <row r="162" spans="2:8" ht="17.25" thickBot="1" x14ac:dyDescent="0.3">
      <c r="B162" s="72"/>
      <c r="C162" s="66"/>
      <c r="D162" s="67"/>
      <c r="E162" s="68"/>
      <c r="F162" s="69"/>
      <c r="G162" s="70" t="str">
        <f>IF(Tab_Base[[#This Row],[Data]]&lt;&gt;"",MONTH(Tab_Base[[#This Row],[Data]]),"-")</f>
        <v>-</v>
      </c>
      <c r="H162" s="70" t="str">
        <f>IF(Tab_Base[[#This Row],[Data]]&lt;&gt;"",YEAR(Tab_Base[[#This Row],[Data]]),"-")</f>
        <v>-</v>
      </c>
    </row>
    <row r="163" spans="2:8" ht="17.25" thickBot="1" x14ac:dyDescent="0.3">
      <c r="B163" s="72"/>
      <c r="C163" s="66"/>
      <c r="D163" s="67"/>
      <c r="E163" s="68"/>
      <c r="F163" s="69"/>
      <c r="G163" s="70" t="str">
        <f>IF(Tab_Base[[#This Row],[Data]]&lt;&gt;"",MONTH(Tab_Base[[#This Row],[Data]]),"-")</f>
        <v>-</v>
      </c>
      <c r="H163" s="70" t="str">
        <f>IF(Tab_Base[[#This Row],[Data]]&lt;&gt;"",YEAR(Tab_Base[[#This Row],[Data]]),"-")</f>
        <v>-</v>
      </c>
    </row>
    <row r="164" spans="2:8" ht="17.25" thickBot="1" x14ac:dyDescent="0.3">
      <c r="B164" s="72"/>
      <c r="C164" s="66"/>
      <c r="D164" s="67"/>
      <c r="E164" s="68"/>
      <c r="F164" s="69"/>
      <c r="G164" s="70" t="str">
        <f>IF(Tab_Base[[#This Row],[Data]]&lt;&gt;"",MONTH(Tab_Base[[#This Row],[Data]]),"-")</f>
        <v>-</v>
      </c>
      <c r="H164" s="70" t="str">
        <f>IF(Tab_Base[[#This Row],[Data]]&lt;&gt;"",YEAR(Tab_Base[[#This Row],[Data]]),"-")</f>
        <v>-</v>
      </c>
    </row>
    <row r="165" spans="2:8" ht="17.25" thickBot="1" x14ac:dyDescent="0.3">
      <c r="B165" s="72"/>
      <c r="C165" s="66"/>
      <c r="D165" s="67"/>
      <c r="E165" s="68"/>
      <c r="F165" s="69"/>
      <c r="G165" s="70" t="str">
        <f>IF(Tab_Base[[#This Row],[Data]]&lt;&gt;"",MONTH(Tab_Base[[#This Row],[Data]]),"-")</f>
        <v>-</v>
      </c>
      <c r="H165" s="70" t="str">
        <f>IF(Tab_Base[[#This Row],[Data]]&lt;&gt;"",YEAR(Tab_Base[[#This Row],[Data]]),"-")</f>
        <v>-</v>
      </c>
    </row>
    <row r="166" spans="2:8" ht="17.25" thickBot="1" x14ac:dyDescent="0.3">
      <c r="B166" s="72"/>
      <c r="C166" s="66"/>
      <c r="D166" s="67"/>
      <c r="E166" s="68"/>
      <c r="F166" s="69"/>
      <c r="G166" s="70" t="str">
        <f>IF(Tab_Base[[#This Row],[Data]]&lt;&gt;"",MONTH(Tab_Base[[#This Row],[Data]]),"-")</f>
        <v>-</v>
      </c>
      <c r="H166" s="70" t="str">
        <f>IF(Tab_Base[[#This Row],[Data]]&lt;&gt;"",YEAR(Tab_Base[[#This Row],[Data]]),"-")</f>
        <v>-</v>
      </c>
    </row>
    <row r="167" spans="2:8" ht="17.25" thickBot="1" x14ac:dyDescent="0.3">
      <c r="B167" s="72"/>
      <c r="C167" s="66"/>
      <c r="D167" s="67"/>
      <c r="E167" s="68"/>
      <c r="F167" s="69"/>
      <c r="G167" s="70" t="str">
        <f>IF(Tab_Base[[#This Row],[Data]]&lt;&gt;"",MONTH(Tab_Base[[#This Row],[Data]]),"-")</f>
        <v>-</v>
      </c>
      <c r="H167" s="70" t="str">
        <f>IF(Tab_Base[[#This Row],[Data]]&lt;&gt;"",YEAR(Tab_Base[[#This Row],[Data]]),"-")</f>
        <v>-</v>
      </c>
    </row>
    <row r="168" spans="2:8" ht="17.25" thickBot="1" x14ac:dyDescent="0.3">
      <c r="B168" s="72"/>
      <c r="C168" s="66"/>
      <c r="D168" s="67"/>
      <c r="E168" s="68"/>
      <c r="F168" s="69"/>
      <c r="G168" s="70" t="str">
        <f>IF(Tab_Base[[#This Row],[Data]]&lt;&gt;"",MONTH(Tab_Base[[#This Row],[Data]]),"-")</f>
        <v>-</v>
      </c>
      <c r="H168" s="70" t="str">
        <f>IF(Tab_Base[[#This Row],[Data]]&lt;&gt;"",YEAR(Tab_Base[[#This Row],[Data]]),"-")</f>
        <v>-</v>
      </c>
    </row>
    <row r="169" spans="2:8" ht="17.25" thickBot="1" x14ac:dyDescent="0.3">
      <c r="B169" s="72"/>
      <c r="C169" s="66"/>
      <c r="D169" s="67"/>
      <c r="E169" s="68"/>
      <c r="F169" s="69"/>
      <c r="G169" s="70" t="str">
        <f>IF(Tab_Base[[#This Row],[Data]]&lt;&gt;"",MONTH(Tab_Base[[#This Row],[Data]]),"-")</f>
        <v>-</v>
      </c>
      <c r="H169" s="70" t="str">
        <f>IF(Tab_Base[[#This Row],[Data]]&lt;&gt;"",YEAR(Tab_Base[[#This Row],[Data]]),"-")</f>
        <v>-</v>
      </c>
    </row>
    <row r="170" spans="2:8" ht="17.25" thickBot="1" x14ac:dyDescent="0.3">
      <c r="B170" s="72"/>
      <c r="C170" s="66"/>
      <c r="D170" s="67"/>
      <c r="E170" s="68"/>
      <c r="F170" s="69"/>
      <c r="G170" s="70" t="str">
        <f>IF(Tab_Base[[#This Row],[Data]]&lt;&gt;"",MONTH(Tab_Base[[#This Row],[Data]]),"-")</f>
        <v>-</v>
      </c>
      <c r="H170" s="70" t="str">
        <f>IF(Tab_Base[[#This Row],[Data]]&lt;&gt;"",YEAR(Tab_Base[[#This Row],[Data]]),"-")</f>
        <v>-</v>
      </c>
    </row>
    <row r="171" spans="2:8" ht="17.25" thickBot="1" x14ac:dyDescent="0.3">
      <c r="B171" s="72"/>
      <c r="C171" s="66"/>
      <c r="D171" s="67"/>
      <c r="E171" s="68"/>
      <c r="F171" s="69"/>
      <c r="G171" s="70" t="str">
        <f>IF(Tab_Base[[#This Row],[Data]]&lt;&gt;"",MONTH(Tab_Base[[#This Row],[Data]]),"-")</f>
        <v>-</v>
      </c>
      <c r="H171" s="70" t="str">
        <f>IF(Tab_Base[[#This Row],[Data]]&lt;&gt;"",YEAR(Tab_Base[[#This Row],[Data]]),"-")</f>
        <v>-</v>
      </c>
    </row>
    <row r="172" spans="2:8" ht="17.25" thickBot="1" x14ac:dyDescent="0.3">
      <c r="B172" s="72"/>
      <c r="C172" s="66"/>
      <c r="D172" s="67"/>
      <c r="E172" s="68"/>
      <c r="F172" s="69"/>
      <c r="G172" s="70" t="str">
        <f>IF(Tab_Base[[#This Row],[Data]]&lt;&gt;"",MONTH(Tab_Base[[#This Row],[Data]]),"-")</f>
        <v>-</v>
      </c>
      <c r="H172" s="70" t="str">
        <f>IF(Tab_Base[[#This Row],[Data]]&lt;&gt;"",YEAR(Tab_Base[[#This Row],[Data]]),"-")</f>
        <v>-</v>
      </c>
    </row>
    <row r="173" spans="2:8" ht="17.25" thickBot="1" x14ac:dyDescent="0.3">
      <c r="B173" s="72"/>
      <c r="C173" s="66"/>
      <c r="D173" s="67"/>
      <c r="E173" s="68"/>
      <c r="F173" s="69"/>
      <c r="G173" s="70" t="str">
        <f>IF(Tab_Base[[#This Row],[Data]]&lt;&gt;"",MONTH(Tab_Base[[#This Row],[Data]]),"-")</f>
        <v>-</v>
      </c>
      <c r="H173" s="70" t="str">
        <f>IF(Tab_Base[[#This Row],[Data]]&lt;&gt;"",YEAR(Tab_Base[[#This Row],[Data]]),"-")</f>
        <v>-</v>
      </c>
    </row>
    <row r="174" spans="2:8" ht="17.25" thickBot="1" x14ac:dyDescent="0.3">
      <c r="B174" s="72"/>
      <c r="C174" s="66"/>
      <c r="D174" s="67"/>
      <c r="E174" s="68"/>
      <c r="F174" s="69"/>
      <c r="G174" s="70" t="str">
        <f>IF(Tab_Base[[#This Row],[Data]]&lt;&gt;"",MONTH(Tab_Base[[#This Row],[Data]]),"-")</f>
        <v>-</v>
      </c>
      <c r="H174" s="70" t="str">
        <f>IF(Tab_Base[[#This Row],[Data]]&lt;&gt;"",YEAR(Tab_Base[[#This Row],[Data]]),"-")</f>
        <v>-</v>
      </c>
    </row>
    <row r="175" spans="2:8" ht="17.25" thickBot="1" x14ac:dyDescent="0.3">
      <c r="B175" s="72"/>
      <c r="C175" s="66"/>
      <c r="D175" s="67"/>
      <c r="E175" s="68"/>
      <c r="F175" s="69"/>
      <c r="G175" s="70" t="str">
        <f>IF(Tab_Base[[#This Row],[Data]]&lt;&gt;"",MONTH(Tab_Base[[#This Row],[Data]]),"-")</f>
        <v>-</v>
      </c>
      <c r="H175" s="70" t="str">
        <f>IF(Tab_Base[[#This Row],[Data]]&lt;&gt;"",YEAR(Tab_Base[[#This Row],[Data]]),"-")</f>
        <v>-</v>
      </c>
    </row>
    <row r="176" spans="2:8" ht="17.25" thickBot="1" x14ac:dyDescent="0.3">
      <c r="B176" s="72"/>
      <c r="C176" s="66"/>
      <c r="D176" s="67"/>
      <c r="E176" s="68"/>
      <c r="F176" s="69"/>
      <c r="G176" s="70" t="str">
        <f>IF(Tab_Base[[#This Row],[Data]]&lt;&gt;"",MONTH(Tab_Base[[#This Row],[Data]]),"-")</f>
        <v>-</v>
      </c>
      <c r="H176" s="70" t="str">
        <f>IF(Tab_Base[[#This Row],[Data]]&lt;&gt;"",YEAR(Tab_Base[[#This Row],[Data]]),"-")</f>
        <v>-</v>
      </c>
    </row>
    <row r="177" spans="2:8" ht="17.25" thickBot="1" x14ac:dyDescent="0.3">
      <c r="B177" s="72"/>
      <c r="C177" s="66"/>
      <c r="D177" s="67"/>
      <c r="E177" s="68"/>
      <c r="F177" s="69"/>
      <c r="G177" s="70" t="str">
        <f>IF(Tab_Base[[#This Row],[Data]]&lt;&gt;"",MONTH(Tab_Base[[#This Row],[Data]]),"-")</f>
        <v>-</v>
      </c>
      <c r="H177" s="70" t="str">
        <f>IF(Tab_Base[[#This Row],[Data]]&lt;&gt;"",YEAR(Tab_Base[[#This Row],[Data]]),"-")</f>
        <v>-</v>
      </c>
    </row>
    <row r="178" spans="2:8" ht="17.25" thickBot="1" x14ac:dyDescent="0.3">
      <c r="B178" s="72"/>
      <c r="C178" s="66"/>
      <c r="D178" s="67"/>
      <c r="E178" s="68"/>
      <c r="F178" s="69"/>
      <c r="G178" s="70" t="str">
        <f>IF(Tab_Base[[#This Row],[Data]]&lt;&gt;"",MONTH(Tab_Base[[#This Row],[Data]]),"-")</f>
        <v>-</v>
      </c>
      <c r="H178" s="70" t="str">
        <f>IF(Tab_Base[[#This Row],[Data]]&lt;&gt;"",YEAR(Tab_Base[[#This Row],[Data]]),"-")</f>
        <v>-</v>
      </c>
    </row>
    <row r="179" spans="2:8" ht="17.25" thickBot="1" x14ac:dyDescent="0.3">
      <c r="B179" s="72"/>
      <c r="C179" s="66"/>
      <c r="D179" s="67"/>
      <c r="E179" s="68"/>
      <c r="F179" s="69"/>
      <c r="G179" s="70" t="str">
        <f>IF(Tab_Base[[#This Row],[Data]]&lt;&gt;"",MONTH(Tab_Base[[#This Row],[Data]]),"-")</f>
        <v>-</v>
      </c>
      <c r="H179" s="70" t="str">
        <f>IF(Tab_Base[[#This Row],[Data]]&lt;&gt;"",YEAR(Tab_Base[[#This Row],[Data]]),"-")</f>
        <v>-</v>
      </c>
    </row>
    <row r="180" spans="2:8" ht="17.25" thickBot="1" x14ac:dyDescent="0.3">
      <c r="B180" s="72"/>
      <c r="C180" s="66"/>
      <c r="D180" s="67"/>
      <c r="E180" s="68"/>
      <c r="F180" s="69"/>
      <c r="G180" s="70" t="str">
        <f>IF(Tab_Base[[#This Row],[Data]]&lt;&gt;"",MONTH(Tab_Base[[#This Row],[Data]]),"-")</f>
        <v>-</v>
      </c>
      <c r="H180" s="70" t="str">
        <f>IF(Tab_Base[[#This Row],[Data]]&lt;&gt;"",YEAR(Tab_Base[[#This Row],[Data]]),"-")</f>
        <v>-</v>
      </c>
    </row>
    <row r="181" spans="2:8" ht="17.25" thickBot="1" x14ac:dyDescent="0.3">
      <c r="B181" s="72"/>
      <c r="C181" s="66"/>
      <c r="D181" s="67"/>
      <c r="E181" s="68"/>
      <c r="F181" s="69"/>
      <c r="G181" s="70" t="str">
        <f>IF(Tab_Base[[#This Row],[Data]]&lt;&gt;"",MONTH(Tab_Base[[#This Row],[Data]]),"-")</f>
        <v>-</v>
      </c>
      <c r="H181" s="70" t="str">
        <f>IF(Tab_Base[[#This Row],[Data]]&lt;&gt;"",YEAR(Tab_Base[[#This Row],[Data]]),"-")</f>
        <v>-</v>
      </c>
    </row>
    <row r="182" spans="2:8" ht="17.25" thickBot="1" x14ac:dyDescent="0.3">
      <c r="B182" s="72"/>
      <c r="C182" s="66"/>
      <c r="D182" s="67"/>
      <c r="E182" s="68"/>
      <c r="F182" s="69"/>
      <c r="G182" s="70" t="str">
        <f>IF(Tab_Base[[#This Row],[Data]]&lt;&gt;"",MONTH(Tab_Base[[#This Row],[Data]]),"-")</f>
        <v>-</v>
      </c>
      <c r="H182" s="70" t="str">
        <f>IF(Tab_Base[[#This Row],[Data]]&lt;&gt;"",YEAR(Tab_Base[[#This Row],[Data]]),"-")</f>
        <v>-</v>
      </c>
    </row>
    <row r="183" spans="2:8" ht="17.25" thickBot="1" x14ac:dyDescent="0.3">
      <c r="B183" s="72"/>
      <c r="C183" s="66"/>
      <c r="D183" s="67"/>
      <c r="E183" s="68"/>
      <c r="F183" s="69"/>
      <c r="G183" s="70" t="str">
        <f>IF(Tab_Base[[#This Row],[Data]]&lt;&gt;"",MONTH(Tab_Base[[#This Row],[Data]]),"-")</f>
        <v>-</v>
      </c>
      <c r="H183" s="70" t="str">
        <f>IF(Tab_Base[[#This Row],[Data]]&lt;&gt;"",YEAR(Tab_Base[[#This Row],[Data]]),"-")</f>
        <v>-</v>
      </c>
    </row>
    <row r="184" spans="2:8" ht="17.25" thickBot="1" x14ac:dyDescent="0.3">
      <c r="B184" s="72"/>
      <c r="C184" s="66"/>
      <c r="D184" s="67"/>
      <c r="E184" s="68"/>
      <c r="F184" s="69"/>
      <c r="G184" s="70" t="str">
        <f>IF(Tab_Base[[#This Row],[Data]]&lt;&gt;"",MONTH(Tab_Base[[#This Row],[Data]]),"-")</f>
        <v>-</v>
      </c>
      <c r="H184" s="70" t="str">
        <f>IF(Tab_Base[[#This Row],[Data]]&lt;&gt;"",YEAR(Tab_Base[[#This Row],[Data]]),"-")</f>
        <v>-</v>
      </c>
    </row>
    <row r="185" spans="2:8" ht="17.25" thickBot="1" x14ac:dyDescent="0.3">
      <c r="B185" s="72"/>
      <c r="C185" s="66"/>
      <c r="D185" s="67"/>
      <c r="E185" s="68"/>
      <c r="F185" s="69"/>
      <c r="G185" s="70" t="str">
        <f>IF(Tab_Base[[#This Row],[Data]]&lt;&gt;"",MONTH(Tab_Base[[#This Row],[Data]]),"-")</f>
        <v>-</v>
      </c>
      <c r="H185" s="70" t="str">
        <f>IF(Tab_Base[[#This Row],[Data]]&lt;&gt;"",YEAR(Tab_Base[[#This Row],[Data]]),"-")</f>
        <v>-</v>
      </c>
    </row>
    <row r="186" spans="2:8" ht="17.25" thickBot="1" x14ac:dyDescent="0.3">
      <c r="B186" s="72"/>
      <c r="C186" s="66"/>
      <c r="D186" s="67"/>
      <c r="E186" s="68"/>
      <c r="F186" s="69"/>
      <c r="G186" s="70" t="str">
        <f>IF(Tab_Base[[#This Row],[Data]]&lt;&gt;"",MONTH(Tab_Base[[#This Row],[Data]]),"-")</f>
        <v>-</v>
      </c>
      <c r="H186" s="70" t="str">
        <f>IF(Tab_Base[[#This Row],[Data]]&lt;&gt;"",YEAR(Tab_Base[[#This Row],[Data]]),"-")</f>
        <v>-</v>
      </c>
    </row>
    <row r="187" spans="2:8" ht="17.25" thickBot="1" x14ac:dyDescent="0.3">
      <c r="B187" s="72"/>
      <c r="C187" s="66"/>
      <c r="D187" s="67"/>
      <c r="E187" s="68"/>
      <c r="F187" s="69"/>
      <c r="G187" s="70" t="str">
        <f>IF(Tab_Base[[#This Row],[Data]]&lt;&gt;"",MONTH(Tab_Base[[#This Row],[Data]]),"-")</f>
        <v>-</v>
      </c>
      <c r="H187" s="70" t="str">
        <f>IF(Tab_Base[[#This Row],[Data]]&lt;&gt;"",YEAR(Tab_Base[[#This Row],[Data]]),"-")</f>
        <v>-</v>
      </c>
    </row>
    <row r="188" spans="2:8" ht="17.25" thickBot="1" x14ac:dyDescent="0.3">
      <c r="B188" s="72"/>
      <c r="C188" s="66"/>
      <c r="D188" s="67"/>
      <c r="E188" s="68"/>
      <c r="F188" s="69"/>
      <c r="G188" s="70" t="str">
        <f>IF(Tab_Base[[#This Row],[Data]]&lt;&gt;"",MONTH(Tab_Base[[#This Row],[Data]]),"-")</f>
        <v>-</v>
      </c>
      <c r="H188" s="70" t="str">
        <f>IF(Tab_Base[[#This Row],[Data]]&lt;&gt;"",YEAR(Tab_Base[[#This Row],[Data]]),"-")</f>
        <v>-</v>
      </c>
    </row>
    <row r="189" spans="2:8" ht="17.25" thickBot="1" x14ac:dyDescent="0.3">
      <c r="B189" s="72"/>
      <c r="C189" s="66"/>
      <c r="D189" s="67"/>
      <c r="E189" s="68"/>
      <c r="F189" s="69"/>
      <c r="G189" s="70" t="str">
        <f>IF(Tab_Base[[#This Row],[Data]]&lt;&gt;"",MONTH(Tab_Base[[#This Row],[Data]]),"-")</f>
        <v>-</v>
      </c>
      <c r="H189" s="70" t="str">
        <f>IF(Tab_Base[[#This Row],[Data]]&lt;&gt;"",YEAR(Tab_Base[[#This Row],[Data]]),"-")</f>
        <v>-</v>
      </c>
    </row>
    <row r="190" spans="2:8" ht="17.25" thickBot="1" x14ac:dyDescent="0.3">
      <c r="B190" s="72"/>
      <c r="C190" s="66"/>
      <c r="D190" s="67"/>
      <c r="E190" s="68"/>
      <c r="F190" s="69"/>
      <c r="G190" s="70" t="str">
        <f>IF(Tab_Base[[#This Row],[Data]]&lt;&gt;"",MONTH(Tab_Base[[#This Row],[Data]]),"-")</f>
        <v>-</v>
      </c>
      <c r="H190" s="70" t="str">
        <f>IF(Tab_Base[[#This Row],[Data]]&lt;&gt;"",YEAR(Tab_Base[[#This Row],[Data]]),"-")</f>
        <v>-</v>
      </c>
    </row>
    <row r="191" spans="2:8" ht="17.25" thickBot="1" x14ac:dyDescent="0.3">
      <c r="B191" s="72"/>
      <c r="C191" s="66"/>
      <c r="D191" s="67"/>
      <c r="E191" s="68"/>
      <c r="F191" s="69"/>
      <c r="G191" s="70" t="str">
        <f>IF(Tab_Base[[#This Row],[Data]]&lt;&gt;"",MONTH(Tab_Base[[#This Row],[Data]]),"-")</f>
        <v>-</v>
      </c>
      <c r="H191" s="70" t="str">
        <f>IF(Tab_Base[[#This Row],[Data]]&lt;&gt;"",YEAR(Tab_Base[[#This Row],[Data]]),"-")</f>
        <v>-</v>
      </c>
    </row>
    <row r="192" spans="2:8" ht="17.25" thickBot="1" x14ac:dyDescent="0.3">
      <c r="B192" s="72"/>
      <c r="C192" s="66"/>
      <c r="D192" s="67"/>
      <c r="E192" s="68"/>
      <c r="F192" s="69"/>
      <c r="G192" s="70" t="str">
        <f>IF(Tab_Base[[#This Row],[Data]]&lt;&gt;"",MONTH(Tab_Base[[#This Row],[Data]]),"-")</f>
        <v>-</v>
      </c>
      <c r="H192" s="70" t="str">
        <f>IF(Tab_Base[[#This Row],[Data]]&lt;&gt;"",YEAR(Tab_Base[[#This Row],[Data]]),"-")</f>
        <v>-</v>
      </c>
    </row>
    <row r="193" spans="2:8" ht="17.25" thickBot="1" x14ac:dyDescent="0.3">
      <c r="B193" s="72"/>
      <c r="C193" s="66"/>
      <c r="D193" s="67"/>
      <c r="E193" s="68"/>
      <c r="F193" s="69"/>
      <c r="G193" s="70" t="str">
        <f>IF(Tab_Base[[#This Row],[Data]]&lt;&gt;"",MONTH(Tab_Base[[#This Row],[Data]]),"-")</f>
        <v>-</v>
      </c>
      <c r="H193" s="70" t="str">
        <f>IF(Tab_Base[[#This Row],[Data]]&lt;&gt;"",YEAR(Tab_Base[[#This Row],[Data]]),"-")</f>
        <v>-</v>
      </c>
    </row>
    <row r="194" spans="2:8" ht="17.25" thickBot="1" x14ac:dyDescent="0.3">
      <c r="B194" s="72"/>
      <c r="C194" s="66"/>
      <c r="D194" s="67"/>
      <c r="E194" s="68"/>
      <c r="F194" s="69"/>
      <c r="G194" s="70" t="str">
        <f>IF(Tab_Base[[#This Row],[Data]]&lt;&gt;"",MONTH(Tab_Base[[#This Row],[Data]]),"-")</f>
        <v>-</v>
      </c>
      <c r="H194" s="70" t="str">
        <f>IF(Tab_Base[[#This Row],[Data]]&lt;&gt;"",YEAR(Tab_Base[[#This Row],[Data]]),"-")</f>
        <v>-</v>
      </c>
    </row>
    <row r="195" spans="2:8" ht="17.25" thickBot="1" x14ac:dyDescent="0.3">
      <c r="B195" s="72"/>
      <c r="C195" s="66"/>
      <c r="D195" s="67"/>
      <c r="E195" s="68"/>
      <c r="F195" s="69"/>
      <c r="G195" s="70" t="str">
        <f>IF(Tab_Base[[#This Row],[Data]]&lt;&gt;"",MONTH(Tab_Base[[#This Row],[Data]]),"-")</f>
        <v>-</v>
      </c>
      <c r="H195" s="70" t="str">
        <f>IF(Tab_Base[[#This Row],[Data]]&lt;&gt;"",YEAR(Tab_Base[[#This Row],[Data]]),"-")</f>
        <v>-</v>
      </c>
    </row>
  </sheetData>
  <mergeCells count="1">
    <mergeCell ref="B1:D1"/>
  </mergeCells>
  <phoneticPr fontId="5" type="noConversion"/>
  <dataValidations count="3">
    <dataValidation type="list" allowBlank="1" showInputMessage="1" showErrorMessage="1" sqref="C26:C195 C11:C17 C6" xr:uid="{B057032D-F715-4301-981C-B9812025071F}">
      <formula1>"Entrada,Saída"</formula1>
    </dataValidation>
    <dataValidation type="list" allowBlank="1" showInputMessage="1" sqref="E26:E195 E11:E17 E6" xr:uid="{105DABF0-CB97-4475-98F1-1AE720858824}">
      <formula1>Descricao</formula1>
    </dataValidation>
    <dataValidation type="list" allowBlank="1" showInputMessage="1" showErrorMessage="1" sqref="D6 D26:D195 D11:D17" xr:uid="{280630A6-CF31-4D50-AD33-15D027EE298A}">
      <formula1>INDIRECT($C6)</formula1>
    </dataValidation>
  </dataValidations>
  <pageMargins left="0.511811024" right="0.511811024" top="0.78740157499999996" bottom="0.78740157499999996" header="0.31496062000000002" footer="0.31496062000000002"/>
  <pageSetup paperSize="9" scale="73" orientation="portrait" r:id="rId1"/>
  <colBreaks count="1" manualBreakCount="1">
    <brk id="6" min="1" max="26" man="1"/>
  </colBreaks>
  <ignoredErrors>
    <ignoredError sqref="E196:E1048576" listDataValidatio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EA19-3B49-455A-A6E4-1D87704F9101}">
  <dimension ref="A1:T27"/>
  <sheetViews>
    <sheetView showGridLines="0" showRowColHeaders="0" zoomScale="78" zoomScaleNormal="78" workbookViewId="0">
      <selection activeCell="J11" sqref="J11"/>
    </sheetView>
  </sheetViews>
  <sheetFormatPr defaultColWidth="9.140625" defaultRowHeight="16.5" x14ac:dyDescent="0.25"/>
  <cols>
    <col min="1" max="1" width="12.7109375" style="51" customWidth="1"/>
    <col min="2" max="2" width="2.7109375" style="9" customWidth="1"/>
    <col min="3" max="4" width="24.140625" style="9" customWidth="1"/>
    <col min="5" max="5" width="3.7109375" style="9" customWidth="1"/>
    <col min="6" max="7" width="7.85546875" style="9" customWidth="1"/>
    <col min="8" max="8" width="3.7109375" style="9" customWidth="1"/>
    <col min="9" max="13" width="14.140625" style="9" customWidth="1"/>
    <col min="14" max="14" width="13.140625" style="9" customWidth="1"/>
    <col min="15" max="15" width="7.7109375" style="9" customWidth="1"/>
    <col min="16" max="16" width="13.140625" style="9" customWidth="1"/>
    <col min="17" max="17" width="3.28515625" style="9" bestFit="1" customWidth="1"/>
    <col min="18" max="19" width="24.140625" style="9" customWidth="1"/>
    <col min="20" max="20" width="3.85546875" style="9" customWidth="1"/>
    <col min="21" max="16384" width="9.140625" style="9"/>
  </cols>
  <sheetData>
    <row r="1" spans="2:20" ht="8.25" customHeight="1" x14ac:dyDescent="0.25"/>
    <row r="2" spans="2:20" ht="20.25" customHeight="1" x14ac:dyDescent="0.25">
      <c r="B2" s="10"/>
      <c r="C2" s="100" t="s">
        <v>26</v>
      </c>
      <c r="D2" s="100"/>
      <c r="E2" s="10"/>
      <c r="F2" s="10"/>
      <c r="G2" s="102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2:20" ht="24.75" customHeight="1" x14ac:dyDescent="0.25">
      <c r="B3" s="10"/>
      <c r="C3" s="101">
        <v>2024</v>
      </c>
      <c r="D3" s="101"/>
      <c r="E3" s="10"/>
      <c r="F3" s="10"/>
      <c r="G3" s="10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2:20" ht="9.75" customHeight="1" x14ac:dyDescent="0.25">
      <c r="B4" s="10"/>
      <c r="C4" s="10"/>
      <c r="D4" s="10"/>
      <c r="E4" s="10"/>
      <c r="F4" s="10"/>
      <c r="G4" s="102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2:20" ht="39.75" customHeight="1" thickBot="1" x14ac:dyDescent="0.3">
      <c r="B5" s="10"/>
      <c r="C5" s="36" t="s">
        <v>20</v>
      </c>
      <c r="D5" s="37">
        <f>Auxiliar!AE1</f>
        <v>4642</v>
      </c>
      <c r="E5" s="10"/>
      <c r="F5" s="10"/>
      <c r="G5" s="102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2:20" ht="39.75" customHeight="1" thickBot="1" x14ac:dyDescent="0.3">
      <c r="B6" s="10"/>
      <c r="C6" s="38" t="s">
        <v>6</v>
      </c>
      <c r="D6" s="39">
        <f>Auxiliar!O1</f>
        <v>4620.75</v>
      </c>
      <c r="E6" s="10"/>
      <c r="F6" s="10"/>
      <c r="G6" s="10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2:20" ht="39.75" customHeight="1" x14ac:dyDescent="0.25">
      <c r="B7" s="10"/>
      <c r="C7" s="41" t="s">
        <v>21</v>
      </c>
      <c r="D7" s="40">
        <f>D5-D6</f>
        <v>21.25</v>
      </c>
      <c r="E7" s="10"/>
      <c r="F7" s="10"/>
      <c r="G7" s="102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2:20" ht="9.75" customHeigh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2:20" ht="6" customHeight="1" x14ac:dyDescent="0.25"/>
    <row r="10" spans="2:20" ht="10.5" customHeight="1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2:20" ht="30" customHeight="1" thickBot="1" x14ac:dyDescent="0.3">
      <c r="B11" s="10"/>
      <c r="C11" s="103" t="s">
        <v>25</v>
      </c>
      <c r="D11" s="103"/>
      <c r="E11" s="103"/>
      <c r="F11" s="103"/>
      <c r="G11" s="103"/>
      <c r="H11" s="21"/>
      <c r="I11" s="43" t="s">
        <v>33</v>
      </c>
      <c r="J11" s="42">
        <v>45566</v>
      </c>
      <c r="K11" s="43"/>
      <c r="L11" s="43" t="s">
        <v>34</v>
      </c>
      <c r="M11" s="42">
        <v>45657</v>
      </c>
      <c r="N11" s="22"/>
      <c r="O11" s="22"/>
      <c r="P11" s="22"/>
      <c r="Q11" s="22"/>
      <c r="R11" s="44" t="s">
        <v>21</v>
      </c>
      <c r="S11" s="45">
        <f>D20-S25</f>
        <v>-283.67999999999938</v>
      </c>
      <c r="T11" s="10"/>
    </row>
    <row r="12" spans="2:20" ht="12" customHeight="1" x14ac:dyDescent="0.25">
      <c r="B12" s="10"/>
      <c r="C12" s="15"/>
      <c r="D12" s="15"/>
      <c r="E12" s="15"/>
      <c r="F12" s="15"/>
      <c r="G12" s="15"/>
      <c r="H12" s="11"/>
      <c r="I12" s="13"/>
      <c r="J12" s="14"/>
      <c r="K12" s="13"/>
      <c r="L12" s="14"/>
      <c r="M12" s="10"/>
      <c r="N12" s="10"/>
      <c r="O12" s="10"/>
      <c r="P12" s="10"/>
      <c r="Q12" s="10"/>
      <c r="R12" s="10"/>
      <c r="S12" s="10"/>
      <c r="T12" s="10"/>
    </row>
    <row r="13" spans="2:20" ht="21" customHeight="1" thickBot="1" x14ac:dyDescent="0.3">
      <c r="B13" s="10"/>
      <c r="C13" s="20" t="s">
        <v>31</v>
      </c>
      <c r="D13" s="20" t="s">
        <v>3</v>
      </c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0" t="s">
        <v>32</v>
      </c>
      <c r="S13" s="20" t="s">
        <v>3</v>
      </c>
      <c r="T13" s="10"/>
    </row>
    <row r="14" spans="2:20" ht="20.25" customHeight="1" thickBot="1" x14ac:dyDescent="0.3">
      <c r="B14" s="35">
        <v>1</v>
      </c>
      <c r="C14" s="16" t="str">
        <f t="array" ref="C14">IFERROR(INDEX(tb_entradas[Entradas],SMALL(IF(tb_entradas[Total Per]=D14,ROW(tb_entradas[Total Per])-4),COUNTIF($D$14:D14,D14))),"-")</f>
        <v>Salário</v>
      </c>
      <c r="D14" s="17">
        <f>IFERROR(LARGE(tb_entradas[Total Per],B14),"-")</f>
        <v>4592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35">
        <v>1</v>
      </c>
      <c r="R14" s="16" t="str">
        <f t="array" ref="R14">IFERROR(INDEX(tb_saidas[Saídas],SMALL(IF(tb_saidas[Total Per]=S14,ROW(tb_saidas[Total Per])-4),COUNTIF($S$14:S14,S14))),"-")</f>
        <v>Fatura Cartão</v>
      </c>
      <c r="S14" s="17">
        <f>IFERROR(LARGE(tb_saidas[Total Per],Q14),"-")</f>
        <v>3132.95</v>
      </c>
      <c r="T14" s="10"/>
    </row>
    <row r="15" spans="2:20" ht="20.25" customHeight="1" thickBot="1" x14ac:dyDescent="0.3">
      <c r="B15" s="35">
        <v>2</v>
      </c>
      <c r="C15" s="16" t="str">
        <f t="array" ref="C15">IFERROR(INDEX(tb_entradas[Entradas],SMALL(IF(tb_entradas[Total Per]=D15,ROW(tb_entradas[Total Per])-4),COUNTIF($D$14:D15,D15))),"-")</f>
        <v>Serviço Extra</v>
      </c>
      <c r="D15" s="17">
        <f>IFERROR(LARGE(tb_entradas[Total Per],B15),"-")</f>
        <v>50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35">
        <v>2</v>
      </c>
      <c r="R15" s="16" t="str">
        <f t="array" ref="R15">IFERROR(INDEX(tb_saidas[Saídas],SMALL(IF(tb_saidas[Total Per]=S15,ROW(tb_saidas[Total Per])-4),COUNTIF($S$14:S15,S15))),"-")</f>
        <v>Parcela CNH</v>
      </c>
      <c r="S15" s="17">
        <f>IFERROR(LARGE(tb_saidas[Total Per],Q15),"-")</f>
        <v>388</v>
      </c>
      <c r="T15" s="10"/>
    </row>
    <row r="16" spans="2:20" ht="20.25" customHeight="1" thickBot="1" x14ac:dyDescent="0.3">
      <c r="B16" s="35">
        <v>3</v>
      </c>
      <c r="C16" s="16">
        <f t="array" ref="C16">IFERROR(INDEX(tb_entradas[Entradas],SMALL(IF(tb_entradas[Total Per]=D16,ROW(tb_entradas[Total Per])-4),COUNTIF($D$14:D16,D16))),"-")</f>
        <v>0</v>
      </c>
      <c r="D16" s="17">
        <f>IFERROR(LARGE(tb_entradas[Total Per],B16),"-")</f>
        <v>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35">
        <v>3</v>
      </c>
      <c r="R16" s="16" t="str">
        <f t="array" ref="R16">IFERROR(INDEX(tb_saidas[Saídas],SMALL(IF(tb_saidas[Total Per]=S16,ROW(tb_saidas[Total Per])-4),COUNTIF($S$14:S16,S16))),"-")</f>
        <v>Investimento CDB</v>
      </c>
      <c r="S16" s="17">
        <f>IFERROR(LARGE(tb_saidas[Total Per],Q16),"-")</f>
        <v>330</v>
      </c>
      <c r="T16" s="10"/>
    </row>
    <row r="17" spans="2:20" ht="20.25" customHeight="1" thickBot="1" x14ac:dyDescent="0.3">
      <c r="B17" s="35">
        <v>4</v>
      </c>
      <c r="C17" s="16" t="str">
        <f t="array" ref="C17">IFERROR(INDEX(tb_entradas[Entradas],SMALL(IF(tb_entradas[Total Per]=D17,ROW(tb_entradas[Total Per])-4),COUNTIF($D$14:D17,D17))),"-")</f>
        <v>-</v>
      </c>
      <c r="D17" s="17" t="str">
        <f>IFERROR(LARGE(tb_entradas[Total Per],B17),"-")</f>
        <v>-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35">
        <v>4</v>
      </c>
      <c r="R17" s="16" t="str">
        <f t="array" ref="R17">IFERROR(INDEX(tb_saidas[Saídas],SMALL(IF(tb_saidas[Total Per]=S17,ROW(tb_saidas[Total Per])-4),COUNTIF($S$14:S17,S17))),"-")</f>
        <v>Juliana Bofi - Clínica Dentista</v>
      </c>
      <c r="S17" s="17">
        <f>IFERROR(LARGE(tb_saidas[Total Per],Q17),"-")</f>
        <v>320</v>
      </c>
      <c r="T17" s="10"/>
    </row>
    <row r="18" spans="2:20" ht="20.25" customHeight="1" thickBot="1" x14ac:dyDescent="0.3">
      <c r="B18" s="35">
        <v>5</v>
      </c>
      <c r="C18" s="16" t="str">
        <f t="array" ref="C18">IFERROR(INDEX(tb_entradas[Entradas],SMALL(IF(tb_entradas[Total Per]=D18,ROW(tb_entradas[Total Per])-4),COUNTIF($D$14:D18,D18))),"-")</f>
        <v>-</v>
      </c>
      <c r="D18" s="17" t="str">
        <f>IFERROR(LARGE(tb_entradas[Total Per],B18),"-")</f>
        <v>-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35">
        <v>5</v>
      </c>
      <c r="R18" s="16" t="str">
        <f t="array" ref="R18">IFERROR(INDEX(tb_saidas[Saídas],SMALL(IF(tb_saidas[Total Per]=S18,ROW(tb_saidas[Total Per])-4),COUNTIF($S$14:S18,S18))),"-")</f>
        <v>Outros</v>
      </c>
      <c r="S18" s="17">
        <f>IFERROR(LARGE(tb_saidas[Total Per],Q18),"-")</f>
        <v>201</v>
      </c>
      <c r="T18" s="10"/>
    </row>
    <row r="19" spans="2:20" ht="20.25" customHeight="1" thickBot="1" x14ac:dyDescent="0.3">
      <c r="B19" s="10"/>
      <c r="C19" s="16" t="s">
        <v>30</v>
      </c>
      <c r="D19" s="17">
        <f>D20-SUM(D14:D18)</f>
        <v>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35">
        <v>6</v>
      </c>
      <c r="R19" s="16" t="str">
        <f t="array" ref="R19">IFERROR(INDEX(tb_saidas[Saídas],SMALL(IF(tb_saidas[Total Per]=S19,ROW(tb_saidas[Total Per])-4),COUNTIF($S$14:S19,S19))),"-")</f>
        <v>Pix Anderson</v>
      </c>
      <c r="S19" s="17">
        <f>IFERROR(LARGE(tb_saidas[Total Per],Q19),"-")</f>
        <v>200</v>
      </c>
      <c r="T19" s="10"/>
    </row>
    <row r="20" spans="2:20" ht="20.25" customHeight="1" thickBot="1" x14ac:dyDescent="0.3">
      <c r="B20" s="10"/>
      <c r="C20" s="19" t="s">
        <v>19</v>
      </c>
      <c r="D20" s="18">
        <f>Auxiliar!AF1</f>
        <v>4642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35">
        <v>7</v>
      </c>
      <c r="R20" s="16" t="str">
        <f t="array" ref="R20">IFERROR(INDEX(tb_saidas[Saídas],SMALL(IF(tb_saidas[Total Per]=S20,ROW(tb_saidas[Total Per])-4),COUNTIF($S$14:S20,S20))),"-")</f>
        <v>Internet</v>
      </c>
      <c r="S20" s="17">
        <f>IFERROR(LARGE(tb_saidas[Total Per],Q20),"-")</f>
        <v>199.8</v>
      </c>
      <c r="T20" s="10"/>
    </row>
    <row r="21" spans="2:20" ht="20.25" customHeight="1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35">
        <v>8</v>
      </c>
      <c r="R21" s="16" t="str">
        <f t="array" ref="R21">IFERROR(INDEX(tb_saidas[Saídas],SMALL(IF(tb_saidas[Total Per]=S21,ROW(tb_saidas[Total Per])-4),COUNTIF($S$14:S21,S21))),"-")</f>
        <v>Caixinha Faculdade</v>
      </c>
      <c r="S21" s="17">
        <f>IFERROR(LARGE(tb_saidas[Total Per],Q21),"-")</f>
        <v>50</v>
      </c>
      <c r="T21" s="10"/>
    </row>
    <row r="22" spans="2:20" ht="20.25" customHeight="1" thickBot="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35">
        <v>9</v>
      </c>
      <c r="R22" s="16" t="str">
        <f t="array" ref="R22">IFERROR(INDEX(tb_saidas[Saídas],SMALL(IF(tb_saidas[Total Per]=S22,ROW(tb_saidas[Total Per])-4),COUNTIF($S$14:S22,S22))),"-")</f>
        <v>Cabelo</v>
      </c>
      <c r="S22" s="17">
        <f>IFERROR(LARGE(tb_saidas[Total Per],Q22),"-")</f>
        <v>50</v>
      </c>
      <c r="T22" s="10"/>
    </row>
    <row r="23" spans="2:20" ht="20.25" customHeight="1" thickBot="1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35">
        <v>10</v>
      </c>
      <c r="R23" s="16" t="str">
        <f t="array" ref="R23">IFERROR(INDEX(tb_saidas[Saídas],SMALL(IF(tb_saidas[Total Per]=S23,ROW(tb_saidas[Total Per])-4),COUNTIF($S$14:S23,S23))),"-")</f>
        <v>Mercado</v>
      </c>
      <c r="S23" s="17">
        <f>IFERROR(LARGE(tb_saidas[Total Per],Q23),"-")</f>
        <v>44.78</v>
      </c>
      <c r="T23" s="10"/>
    </row>
    <row r="24" spans="2:20" ht="20.25" customHeight="1" thickBot="1" x14ac:dyDescent="0.3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6" t="s">
        <v>30</v>
      </c>
      <c r="S24" s="17">
        <f>S25-SUM(S14:S23)</f>
        <v>9.1499999999996362</v>
      </c>
      <c r="T24" s="10"/>
    </row>
    <row r="25" spans="2:20" ht="20.25" customHeight="1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9" t="s">
        <v>19</v>
      </c>
      <c r="S25" s="18">
        <f>Auxiliar!P1</f>
        <v>4925.6799999999994</v>
      </c>
      <c r="T25" s="10"/>
    </row>
    <row r="26" spans="2:20" ht="20.25" customHeight="1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2:20" ht="20.25" customHeight="1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</sheetData>
  <sheetProtection sheet="1" selectLockedCells="1"/>
  <mergeCells count="4">
    <mergeCell ref="C2:D2"/>
    <mergeCell ref="C3:D3"/>
    <mergeCell ref="G2:G7"/>
    <mergeCell ref="C11:G11"/>
  </mergeCells>
  <conditionalFormatting sqref="D14:D1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{35D4D05E-D374-417C-A346-7CA5A7C597E3}</x14:id>
        </ext>
      </extLst>
    </cfRule>
  </conditionalFormatting>
  <conditionalFormatting sqref="S14:S24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{81D52AD4-A756-4A73-90A6-0D928E18D85B}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autoPict="0">
                <anchor>
                  <from>
                    <xdr:col>3</xdr:col>
                    <xdr:colOff>1495425</xdr:colOff>
                    <xdr:row>1</xdr:row>
                    <xdr:rowOff>209550</xdr:rowOff>
                  </from>
                  <to>
                    <xdr:col>4</xdr:col>
                    <xdr:colOff>133350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4D05E-D374-417C-A346-7CA5A7C59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D14:D19</xm:sqref>
        </x14:conditionalFormatting>
        <x14:conditionalFormatting xmlns:xm="http://schemas.microsoft.com/office/excel/2006/main">
          <x14:cfRule type="dataBar" id="{81D52AD4-A756-4A73-90A6-0D928E18D8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S14:S24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1276-7FAB-40B6-8F8B-CD4605DC9BA3}">
  <dimension ref="A1:C121"/>
  <sheetViews>
    <sheetView showGridLines="0" showRowColHeaders="0" workbookViewId="0">
      <pane ySplit="1" topLeftCell="A14" activePane="bottomLeft" state="frozen"/>
      <selection activeCell="Q4" sqref="Q4"/>
      <selection pane="bottomLeft" activeCell="M19" sqref="M19"/>
    </sheetView>
  </sheetViews>
  <sheetFormatPr defaultRowHeight="15" x14ac:dyDescent="0.25"/>
  <cols>
    <col min="1" max="1" width="12.7109375" style="86" customWidth="1"/>
    <col min="2" max="2" width="48.140625" bestFit="1" customWidth="1"/>
    <col min="3" max="3" width="13.85546875" style="2" bestFit="1" customWidth="1"/>
    <col min="4" max="4" width="5.42578125" customWidth="1"/>
  </cols>
  <sheetData>
    <row r="1" spans="2:3" ht="9.75" customHeight="1" x14ac:dyDescent="0.25"/>
    <row r="2" spans="2:3" ht="69" customHeight="1" x14ac:dyDescent="0.25"/>
    <row r="3" spans="2:3" x14ac:dyDescent="0.25">
      <c r="B3" s="3" t="s">
        <v>24</v>
      </c>
      <c r="C3" t="s">
        <v>23</v>
      </c>
    </row>
    <row r="4" spans="2:3" x14ac:dyDescent="0.25">
      <c r="B4" s="4" t="s">
        <v>60</v>
      </c>
      <c r="C4" s="5">
        <v>2296</v>
      </c>
    </row>
    <row r="5" spans="2:3" x14ac:dyDescent="0.25">
      <c r="B5" s="6" t="s">
        <v>62</v>
      </c>
      <c r="C5" s="5">
        <v>2296</v>
      </c>
    </row>
    <row r="6" spans="2:3" x14ac:dyDescent="0.25">
      <c r="B6" s="4" t="s">
        <v>63</v>
      </c>
      <c r="C6" s="5">
        <v>1157.72</v>
      </c>
    </row>
    <row r="7" spans="2:3" x14ac:dyDescent="0.25">
      <c r="B7" s="6" t="s">
        <v>27</v>
      </c>
      <c r="C7" s="5">
        <v>785.96</v>
      </c>
    </row>
    <row r="8" spans="2:3" x14ac:dyDescent="0.25">
      <c r="B8" s="6" t="s">
        <v>81</v>
      </c>
      <c r="C8" s="5">
        <v>371.76</v>
      </c>
    </row>
    <row r="9" spans="2:3" x14ac:dyDescent="0.25">
      <c r="B9" s="4" t="s">
        <v>64</v>
      </c>
      <c r="C9" s="5">
        <v>200</v>
      </c>
    </row>
    <row r="10" spans="2:3" x14ac:dyDescent="0.25">
      <c r="B10" s="6" t="s">
        <v>65</v>
      </c>
      <c r="C10" s="5">
        <v>200</v>
      </c>
    </row>
    <row r="11" spans="2:3" x14ac:dyDescent="0.25">
      <c r="B11" s="4" t="s">
        <v>59</v>
      </c>
      <c r="C11" s="5">
        <v>99.9</v>
      </c>
    </row>
    <row r="12" spans="2:3" x14ac:dyDescent="0.25">
      <c r="B12" s="6" t="s">
        <v>66</v>
      </c>
      <c r="C12" s="5">
        <v>99.9</v>
      </c>
    </row>
    <row r="13" spans="2:3" x14ac:dyDescent="0.25">
      <c r="B13" s="4" t="s">
        <v>67</v>
      </c>
      <c r="C13" s="5">
        <v>388</v>
      </c>
    </row>
    <row r="14" spans="2:3" x14ac:dyDescent="0.25">
      <c r="B14" s="6" t="s">
        <v>68</v>
      </c>
      <c r="C14" s="5">
        <v>388</v>
      </c>
    </row>
    <row r="15" spans="2:3" x14ac:dyDescent="0.25">
      <c r="B15" s="4" t="s">
        <v>69</v>
      </c>
      <c r="C15" s="5">
        <v>50</v>
      </c>
    </row>
    <row r="16" spans="2:3" x14ac:dyDescent="0.25">
      <c r="B16" s="6" t="s">
        <v>27</v>
      </c>
      <c r="C16" s="5">
        <v>50</v>
      </c>
    </row>
    <row r="17" spans="2:3" x14ac:dyDescent="0.25">
      <c r="B17" s="4" t="s">
        <v>70</v>
      </c>
      <c r="C17" s="5">
        <v>320</v>
      </c>
    </row>
    <row r="18" spans="2:3" x14ac:dyDescent="0.25">
      <c r="B18" s="6" t="s">
        <v>71</v>
      </c>
      <c r="C18" s="5">
        <v>320</v>
      </c>
    </row>
    <row r="19" spans="2:3" x14ac:dyDescent="0.25">
      <c r="B19" s="4" t="s">
        <v>72</v>
      </c>
      <c r="C19" s="5">
        <v>330</v>
      </c>
    </row>
    <row r="20" spans="2:3" x14ac:dyDescent="0.25">
      <c r="B20" s="6" t="s">
        <v>27</v>
      </c>
      <c r="C20" s="5">
        <v>330</v>
      </c>
    </row>
    <row r="21" spans="2:3" x14ac:dyDescent="0.25">
      <c r="B21" s="4" t="s">
        <v>73</v>
      </c>
      <c r="C21" s="5">
        <v>44.78</v>
      </c>
    </row>
    <row r="22" spans="2:3" x14ac:dyDescent="0.25">
      <c r="B22" s="6" t="s">
        <v>75</v>
      </c>
      <c r="C22" s="5">
        <v>5.5</v>
      </c>
    </row>
    <row r="23" spans="2:3" x14ac:dyDescent="0.25">
      <c r="B23" s="6" t="s">
        <v>76</v>
      </c>
      <c r="C23" s="5">
        <v>28.28</v>
      </c>
    </row>
    <row r="24" spans="2:3" x14ac:dyDescent="0.25">
      <c r="B24" s="6" t="s">
        <v>83</v>
      </c>
      <c r="C24" s="5">
        <v>11</v>
      </c>
    </row>
    <row r="25" spans="2:3" x14ac:dyDescent="0.25">
      <c r="B25" s="4" t="s">
        <v>74</v>
      </c>
      <c r="C25" s="5">
        <v>7</v>
      </c>
    </row>
    <row r="26" spans="2:3" x14ac:dyDescent="0.25">
      <c r="B26" s="6" t="s">
        <v>27</v>
      </c>
      <c r="C26" s="5">
        <v>2.5</v>
      </c>
    </row>
    <row r="27" spans="2:3" x14ac:dyDescent="0.25">
      <c r="B27" s="6" t="s">
        <v>75</v>
      </c>
      <c r="C27" s="5">
        <v>4.5</v>
      </c>
    </row>
    <row r="28" spans="2:3" x14ac:dyDescent="0.25">
      <c r="B28" s="4" t="s">
        <v>77</v>
      </c>
      <c r="C28" s="5">
        <v>50</v>
      </c>
    </row>
    <row r="29" spans="2:3" x14ac:dyDescent="0.25">
      <c r="B29" s="6" t="s">
        <v>78</v>
      </c>
      <c r="C29" s="5">
        <v>50</v>
      </c>
    </row>
    <row r="30" spans="2:3" x14ac:dyDescent="0.25">
      <c r="B30" s="4" t="s">
        <v>79</v>
      </c>
      <c r="C30" s="5">
        <v>354.49</v>
      </c>
    </row>
    <row r="31" spans="2:3" x14ac:dyDescent="0.25">
      <c r="B31" s="6" t="s">
        <v>80</v>
      </c>
      <c r="C31" s="5">
        <v>354.49</v>
      </c>
    </row>
    <row r="32" spans="2:3" x14ac:dyDescent="0.25">
      <c r="B32" s="4" t="s">
        <v>57</v>
      </c>
      <c r="C32" s="5">
        <v>1</v>
      </c>
    </row>
    <row r="33" spans="2:3" x14ac:dyDescent="0.25">
      <c r="B33" s="6" t="s">
        <v>82</v>
      </c>
      <c r="C33" s="5">
        <v>1</v>
      </c>
    </row>
    <row r="34" spans="2:3" x14ac:dyDescent="0.25">
      <c r="B34" s="4" t="s">
        <v>22</v>
      </c>
      <c r="C34" s="5">
        <v>5298.89</v>
      </c>
    </row>
    <row r="35" spans="2:3" x14ac:dyDescent="0.25">
      <c r="C35"/>
    </row>
    <row r="36" spans="2:3" x14ac:dyDescent="0.25">
      <c r="C36"/>
    </row>
    <row r="37" spans="2:3" x14ac:dyDescent="0.25">
      <c r="C37"/>
    </row>
    <row r="38" spans="2:3" x14ac:dyDescent="0.25">
      <c r="C38"/>
    </row>
    <row r="39" spans="2:3" x14ac:dyDescent="0.25">
      <c r="C39"/>
    </row>
    <row r="40" spans="2:3" x14ac:dyDescent="0.25">
      <c r="C40"/>
    </row>
    <row r="41" spans="2:3" x14ac:dyDescent="0.25">
      <c r="C41"/>
    </row>
    <row r="42" spans="2:3" x14ac:dyDescent="0.25">
      <c r="C42"/>
    </row>
    <row r="43" spans="2:3" x14ac:dyDescent="0.25">
      <c r="C43"/>
    </row>
    <row r="44" spans="2:3" x14ac:dyDescent="0.25">
      <c r="C44"/>
    </row>
    <row r="45" spans="2:3" x14ac:dyDescent="0.25">
      <c r="C45"/>
    </row>
    <row r="46" spans="2:3" x14ac:dyDescent="0.25">
      <c r="C46"/>
    </row>
    <row r="47" spans="2:3" x14ac:dyDescent="0.25">
      <c r="C47"/>
    </row>
    <row r="48" spans="2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E1C5-225C-4617-B7FA-8F84BC1B28C4}">
  <dimension ref="A1:Q41"/>
  <sheetViews>
    <sheetView showGridLines="0" showRowColHeaders="0" workbookViewId="0">
      <pane ySplit="7" topLeftCell="A26" activePane="bottomLeft" state="frozen"/>
      <selection activeCell="Q4" sqref="Q4"/>
      <selection pane="bottomLeft" activeCell="I8" sqref="I8"/>
    </sheetView>
  </sheetViews>
  <sheetFormatPr defaultColWidth="9.140625" defaultRowHeight="14.25" x14ac:dyDescent="0.25"/>
  <cols>
    <col min="1" max="1" width="4.5703125" style="47" customWidth="1"/>
    <col min="2" max="2" width="6.7109375" style="47" hidden="1" customWidth="1"/>
    <col min="3" max="3" width="18" style="47" customWidth="1"/>
    <col min="4" max="5" width="17" style="47" customWidth="1"/>
    <col min="6" max="6" width="19.7109375" style="47" customWidth="1"/>
    <col min="7" max="7" width="12" style="47" customWidth="1"/>
    <col min="8" max="8" width="4.42578125" style="47" hidden="1" customWidth="1"/>
    <col min="9" max="14" width="17.42578125" style="47" customWidth="1"/>
    <col min="15" max="16384" width="9.140625" style="47"/>
  </cols>
  <sheetData>
    <row r="1" spans="1:17" hidden="1" x14ac:dyDescent="0.25">
      <c r="A1" s="47" t="s">
        <v>4</v>
      </c>
      <c r="B1" s="47" t="s">
        <v>0</v>
      </c>
      <c r="C1" s="47" t="s">
        <v>44</v>
      </c>
      <c r="D1" s="47" t="s">
        <v>35</v>
      </c>
      <c r="F1" s="78" t="s">
        <v>36</v>
      </c>
      <c r="G1" s="78" t="s">
        <v>37</v>
      </c>
      <c r="H1" s="78" t="s">
        <v>38</v>
      </c>
      <c r="I1" s="78" t="s">
        <v>39</v>
      </c>
      <c r="J1" s="78" t="s">
        <v>40</v>
      </c>
      <c r="K1" s="78" t="s">
        <v>41</v>
      </c>
      <c r="L1" s="78" t="s">
        <v>53</v>
      </c>
      <c r="M1" s="78" t="s">
        <v>54</v>
      </c>
      <c r="N1" s="78" t="s">
        <v>55</v>
      </c>
      <c r="O1" s="78" t="s">
        <v>56</v>
      </c>
      <c r="P1" s="78" t="s">
        <v>42</v>
      </c>
      <c r="Q1" s="78" t="s">
        <v>43</v>
      </c>
    </row>
    <row r="2" spans="1:17" hidden="1" x14ac:dyDescent="0.25">
      <c r="A2" s="47">
        <f>HLOOKUP(F5,F1:Q2,2,FALSE)</f>
        <v>11</v>
      </c>
      <c r="B2" s="48">
        <f>DATE(D5,A2,1)</f>
        <v>45597</v>
      </c>
      <c r="C2" s="48">
        <f>EOMONTH(B2,0)</f>
        <v>45626</v>
      </c>
      <c r="D2" s="47">
        <f>DAY(C2)</f>
        <v>30</v>
      </c>
      <c r="F2" s="78">
        <v>1</v>
      </c>
      <c r="G2" s="78">
        <v>2</v>
      </c>
      <c r="H2" s="78">
        <v>3</v>
      </c>
      <c r="I2" s="78">
        <v>4</v>
      </c>
      <c r="J2" s="78">
        <v>5</v>
      </c>
      <c r="K2" s="78">
        <v>6</v>
      </c>
      <c r="L2" s="78">
        <v>7</v>
      </c>
      <c r="M2" s="78">
        <v>8</v>
      </c>
      <c r="N2" s="78">
        <v>9</v>
      </c>
      <c r="O2" s="78">
        <v>10</v>
      </c>
      <c r="P2" s="78">
        <v>11</v>
      </c>
      <c r="Q2" s="78">
        <v>12</v>
      </c>
    </row>
    <row r="3" spans="1:17" s="53" customFormat="1" ht="42.75" customHeight="1" x14ac:dyDescent="0.3">
      <c r="B3" s="104" t="s">
        <v>49</v>
      </c>
      <c r="C3" s="104"/>
      <c r="D3" s="104"/>
      <c r="E3" s="104"/>
      <c r="F3" s="54"/>
      <c r="L3" s="81"/>
    </row>
    <row r="5" spans="1:17" ht="24" customHeight="1" x14ac:dyDescent="0.25">
      <c r="C5" s="79" t="s">
        <v>5</v>
      </c>
      <c r="D5" s="80">
        <v>2024</v>
      </c>
      <c r="E5" s="79" t="s">
        <v>4</v>
      </c>
      <c r="F5" s="80" t="s">
        <v>17</v>
      </c>
      <c r="G5" s="77"/>
      <c r="H5" s="77"/>
      <c r="I5" s="77"/>
      <c r="J5" s="77"/>
    </row>
    <row r="6" spans="1:17" ht="5.25" customHeight="1" thickBot="1" x14ac:dyDescent="0.3"/>
    <row r="7" spans="1:17" ht="34.5" customHeight="1" thickBot="1" x14ac:dyDescent="0.3">
      <c r="B7" s="49" t="s">
        <v>35</v>
      </c>
      <c r="C7" s="49" t="s">
        <v>35</v>
      </c>
      <c r="D7" s="49" t="s">
        <v>20</v>
      </c>
      <c r="E7" s="49" t="s">
        <v>6</v>
      </c>
      <c r="F7" s="49" t="s">
        <v>45</v>
      </c>
    </row>
    <row r="8" spans="1:17" ht="16.5" customHeight="1" thickBot="1" x14ac:dyDescent="0.3">
      <c r="B8" s="49">
        <v>1</v>
      </c>
      <c r="C8" s="91">
        <f>IFERROR(DATE($D$5,$A$2,B8),"-")</f>
        <v>45597</v>
      </c>
      <c r="D8" s="92">
        <f>SUMIFS(Tab_Base[Valor],Tab_Base[Data],DATE($D$5,$A$2,B8),Tab_Base[Tipo],"Entrada")</f>
        <v>0</v>
      </c>
      <c r="E8" s="93">
        <f>SUMIFS(Tab_Base[Valor],Tab_Base[Data],DATE($D$5,$A$2,B8),Tab_Base[Tipo],"Saída")</f>
        <v>0</v>
      </c>
      <c r="F8" s="94">
        <f>D8-E8</f>
        <v>0</v>
      </c>
    </row>
    <row r="9" spans="1:17" ht="16.5" customHeight="1" thickBot="1" x14ac:dyDescent="0.3">
      <c r="B9" s="49">
        <v>2</v>
      </c>
      <c r="C9" s="91">
        <f t="shared" ref="C9:C38" si="0">IFERROR(DATE($D$5,$A$2,B9),"-")</f>
        <v>45598</v>
      </c>
      <c r="D9" s="92">
        <f>SUMIFS(Tab_Base[Valor],Tab_Base[Data],DATE($D$5,$A$2,B9),Tab_Base[Tipo],"Entrada")</f>
        <v>0</v>
      </c>
      <c r="E9" s="93">
        <f>SUMIFS(Tab_Base[Valor],Tab_Base[Data],DATE($D$5,$A$2,B9),Tab_Base[Tipo],"Saída")</f>
        <v>0</v>
      </c>
      <c r="F9" s="94">
        <f t="shared" ref="F9:F18" si="1">D9-E9</f>
        <v>0</v>
      </c>
      <c r="J9" s="105" t="s">
        <v>51</v>
      </c>
      <c r="K9" s="105"/>
      <c r="L9" s="105"/>
    </row>
    <row r="10" spans="1:17" ht="16.5" customHeight="1" thickBot="1" x14ac:dyDescent="0.3">
      <c r="B10" s="49">
        <v>3</v>
      </c>
      <c r="C10" s="91">
        <f t="shared" si="0"/>
        <v>45599</v>
      </c>
      <c r="D10" s="92">
        <f>SUMIFS(Tab_Base[Valor],Tab_Base[Data],DATE($D$5,$A$2,B10),Tab_Base[Tipo],"Entrada")</f>
        <v>0</v>
      </c>
      <c r="E10" s="93">
        <f>SUMIFS(Tab_Base[Valor],Tab_Base[Data],DATE($D$5,$A$2,B10),Tab_Base[Tipo],"Saída")</f>
        <v>0</v>
      </c>
      <c r="F10" s="94">
        <f t="shared" si="1"/>
        <v>0</v>
      </c>
      <c r="J10" s="106"/>
      <c r="K10" s="106"/>
      <c r="L10" s="106"/>
    </row>
    <row r="11" spans="1:17" ht="16.5" customHeight="1" thickBot="1" x14ac:dyDescent="0.3">
      <c r="B11" s="49">
        <v>4</v>
      </c>
      <c r="C11" s="91">
        <f t="shared" si="0"/>
        <v>45600</v>
      </c>
      <c r="D11" s="92">
        <f>SUMIFS(Tab_Base[Valor],Tab_Base[Data],DATE($D$5,$A$2,B11),Tab_Base[Tipo],"Entrada")</f>
        <v>0</v>
      </c>
      <c r="E11" s="93">
        <f>SUMIFS(Tab_Base[Valor],Tab_Base[Data],DATE($D$5,$A$2,B11),Tab_Base[Tipo],"Saída")</f>
        <v>0</v>
      </c>
      <c r="F11" s="94">
        <f t="shared" si="1"/>
        <v>0</v>
      </c>
      <c r="I11" s="88"/>
      <c r="J11" s="49" t="s">
        <v>20</v>
      </c>
      <c r="K11" s="49" t="s">
        <v>6</v>
      </c>
      <c r="L11" s="49" t="s">
        <v>45</v>
      </c>
    </row>
    <row r="12" spans="1:17" ht="16.5" customHeight="1" thickBot="1" x14ac:dyDescent="0.3">
      <c r="B12" s="49">
        <v>5</v>
      </c>
      <c r="C12" s="91">
        <f t="shared" si="0"/>
        <v>45601</v>
      </c>
      <c r="D12" s="92">
        <f>SUMIFS(Tab_Base[Valor],Tab_Base[Data],DATE($D$5,$A$2,B12),Tab_Base[Tipo],"Entrada")</f>
        <v>50</v>
      </c>
      <c r="E12" s="93">
        <f>SUMIFS(Tab_Base[Valor],Tab_Base[Data],DATE($D$5,$A$2,B12),Tab_Base[Tipo],"Saída")</f>
        <v>0</v>
      </c>
      <c r="F12" s="94">
        <f t="shared" si="1"/>
        <v>50</v>
      </c>
      <c r="H12" s="47">
        <v>1</v>
      </c>
      <c r="I12" s="90" t="s">
        <v>7</v>
      </c>
      <c r="J12" s="92">
        <f>SUMIFS(Tab_Base[Valor],Tab_Base[Ano],$D$5,Tab_Base[Mês],H12,Tab_Base[Tipo],"Entrada")</f>
        <v>0</v>
      </c>
      <c r="K12" s="93">
        <f>SUMIFS(Tab_Base[Valor],Tab_Base[Ano],$D$5,Tab_Base[Mês],H12,Tab_Base[Tipo],"Saída")</f>
        <v>0</v>
      </c>
      <c r="L12" s="94">
        <f>J12-K12</f>
        <v>0</v>
      </c>
    </row>
    <row r="13" spans="1:17" ht="16.5" customHeight="1" thickBot="1" x14ac:dyDescent="0.3">
      <c r="B13" s="49">
        <v>6</v>
      </c>
      <c r="C13" s="91">
        <f t="shared" si="0"/>
        <v>45602</v>
      </c>
      <c r="D13" s="92">
        <f>SUMIFS(Tab_Base[Valor],Tab_Base[Data],DATE($D$5,$A$2,B13),Tab_Base[Tipo],"Entrada")</f>
        <v>0</v>
      </c>
      <c r="E13" s="93">
        <f>SUMIFS(Tab_Base[Valor],Tab_Base[Data],DATE($D$5,$A$2,B13),Tab_Base[Tipo],"Saída")</f>
        <v>0</v>
      </c>
      <c r="F13" s="94">
        <f t="shared" si="1"/>
        <v>0</v>
      </c>
      <c r="H13" s="47">
        <v>2</v>
      </c>
      <c r="I13" s="90" t="s">
        <v>8</v>
      </c>
      <c r="J13" s="92">
        <f>SUMIFS(Tab_Base[Valor],Tab_Base[Ano],$D$5,Tab_Base[Mês],H13,Tab_Base[Tipo],"Entrada")</f>
        <v>0</v>
      </c>
      <c r="K13" s="93">
        <f>SUMIFS(Tab_Base[Valor],Tab_Base[Ano],$D$5,Tab_Base[Mês],H13,Tab_Base[Tipo],"Saída")</f>
        <v>0</v>
      </c>
      <c r="L13" s="94">
        <f t="shared" ref="L13:L23" si="2">J13-K13</f>
        <v>0</v>
      </c>
    </row>
    <row r="14" spans="1:17" ht="16.5" customHeight="1" thickBot="1" x14ac:dyDescent="0.3">
      <c r="B14" s="49">
        <v>7</v>
      </c>
      <c r="C14" s="91">
        <f t="shared" si="0"/>
        <v>45603</v>
      </c>
      <c r="D14" s="92">
        <f>SUMIFS(Tab_Base[Valor],Tab_Base[Data],DATE($D$5,$A$2,B14),Tab_Base[Tipo],"Entrada")</f>
        <v>0</v>
      </c>
      <c r="E14" s="93">
        <f>SUMIFS(Tab_Base[Valor],Tab_Base[Data],DATE($D$5,$A$2,B14),Tab_Base[Tipo],"Saída")</f>
        <v>0</v>
      </c>
      <c r="F14" s="94">
        <f t="shared" si="1"/>
        <v>0</v>
      </c>
      <c r="H14" s="47">
        <v>3</v>
      </c>
      <c r="I14" s="90" t="s">
        <v>9</v>
      </c>
      <c r="J14" s="92">
        <f>SUMIFS(Tab_Base[Valor],Tab_Base[Ano],$D$5,Tab_Base[Mês],H14,Tab_Base[Tipo],"Entrada")</f>
        <v>0</v>
      </c>
      <c r="K14" s="93">
        <f>SUMIFS(Tab_Base[Valor],Tab_Base[Ano],$D$5,Tab_Base[Mês],H14,Tab_Base[Tipo],"Saída")</f>
        <v>0</v>
      </c>
      <c r="L14" s="94">
        <f t="shared" si="2"/>
        <v>0</v>
      </c>
    </row>
    <row r="15" spans="1:17" ht="16.5" customHeight="1" thickBot="1" x14ac:dyDescent="0.3">
      <c r="B15" s="49">
        <v>8</v>
      </c>
      <c r="C15" s="91">
        <f t="shared" si="0"/>
        <v>45604</v>
      </c>
      <c r="D15" s="92">
        <f>SUMIFS(Tab_Base[Valor],Tab_Base[Data],DATE($D$5,$A$2,B15),Tab_Base[Tipo],"Entrada")</f>
        <v>2296</v>
      </c>
      <c r="E15" s="93">
        <f>SUMIFS(Tab_Base[Valor],Tab_Base[Data],DATE($D$5,$A$2,B15),Tab_Base[Tipo],"Saída")</f>
        <v>2275.13</v>
      </c>
      <c r="F15" s="94">
        <f t="shared" si="1"/>
        <v>20.869999999999891</v>
      </c>
      <c r="H15" s="47">
        <v>4</v>
      </c>
      <c r="I15" s="90" t="s">
        <v>10</v>
      </c>
      <c r="J15" s="92">
        <f>SUMIFS(Tab_Base[Valor],Tab_Base[Ano],$D$5,Tab_Base[Mês],H15,Tab_Base[Tipo],"Entrada")</f>
        <v>0</v>
      </c>
      <c r="K15" s="93">
        <f>SUMIFS(Tab_Base[Valor],Tab_Base[Ano],$D$5,Tab_Base[Mês],H15,Tab_Base[Tipo],"Saída")</f>
        <v>0</v>
      </c>
      <c r="L15" s="94">
        <f t="shared" si="2"/>
        <v>0</v>
      </c>
    </row>
    <row r="16" spans="1:17" ht="16.5" customHeight="1" thickBot="1" x14ac:dyDescent="0.3">
      <c r="B16" s="49">
        <v>9</v>
      </c>
      <c r="C16" s="91">
        <f t="shared" si="0"/>
        <v>45605</v>
      </c>
      <c r="D16" s="92">
        <f>SUMIFS(Tab_Base[Valor],Tab_Base[Data],DATE($D$5,$A$2,B16),Tab_Base[Tipo],"Entrada")</f>
        <v>0</v>
      </c>
      <c r="E16" s="93">
        <f>SUMIFS(Tab_Base[Valor],Tab_Base[Data],DATE($D$5,$A$2,B16),Tab_Base[Tipo],"Saída")</f>
        <v>2.15</v>
      </c>
      <c r="F16" s="94">
        <f t="shared" si="1"/>
        <v>-2.15</v>
      </c>
      <c r="H16" s="47">
        <v>5</v>
      </c>
      <c r="I16" s="90" t="s">
        <v>11</v>
      </c>
      <c r="J16" s="92">
        <f>SUMIFS(Tab_Base[Valor],Tab_Base[Ano],$D$5,Tab_Base[Mês],H16,Tab_Base[Tipo],"Entrada")</f>
        <v>0</v>
      </c>
      <c r="K16" s="93">
        <f>SUMIFS(Tab_Base[Valor],Tab_Base[Ano],$D$5,Tab_Base[Mês],H16,Tab_Base[Tipo],"Saída")</f>
        <v>0</v>
      </c>
      <c r="L16" s="94">
        <f t="shared" si="2"/>
        <v>0</v>
      </c>
    </row>
    <row r="17" spans="2:12" ht="16.5" customHeight="1" thickBot="1" x14ac:dyDescent="0.3">
      <c r="B17" s="49">
        <v>10</v>
      </c>
      <c r="C17" s="91">
        <f t="shared" si="0"/>
        <v>45606</v>
      </c>
      <c r="D17" s="92">
        <f>SUMIFS(Tab_Base[Valor],Tab_Base[Data],DATE($D$5,$A$2,B17),Tab_Base[Tipo],"Entrada")</f>
        <v>0</v>
      </c>
      <c r="E17" s="93">
        <f>SUMIFS(Tab_Base[Valor],Tab_Base[Data],DATE($D$5,$A$2,B17),Tab_Base[Tipo],"Saída")</f>
        <v>0</v>
      </c>
      <c r="F17" s="94">
        <f t="shared" si="1"/>
        <v>0</v>
      </c>
      <c r="H17" s="47">
        <v>6</v>
      </c>
      <c r="I17" s="90" t="s">
        <v>12</v>
      </c>
      <c r="J17" s="92">
        <f>SUMIFS(Tab_Base[Valor],Tab_Base[Ano],$D$5,Tab_Base[Mês],H17,Tab_Base[Tipo],"Entrada")</f>
        <v>0</v>
      </c>
      <c r="K17" s="93">
        <f>SUMIFS(Tab_Base[Valor],Tab_Base[Ano],$D$5,Tab_Base[Mês],H17,Tab_Base[Tipo],"Saída")</f>
        <v>0</v>
      </c>
      <c r="L17" s="94">
        <f t="shared" si="2"/>
        <v>0</v>
      </c>
    </row>
    <row r="18" spans="2:12" ht="16.5" customHeight="1" thickBot="1" x14ac:dyDescent="0.3">
      <c r="B18" s="49">
        <v>11</v>
      </c>
      <c r="C18" s="91">
        <f t="shared" si="0"/>
        <v>45607</v>
      </c>
      <c r="D18" s="92">
        <f>SUMIFS(Tab_Base[Valor],Tab_Base[Data],DATE($D$5,$A$2,B18),Tab_Base[Tipo],"Entrada")</f>
        <v>0</v>
      </c>
      <c r="E18" s="93">
        <f>SUMIFS(Tab_Base[Valor],Tab_Base[Data],DATE($D$5,$A$2,B18),Tab_Base[Tipo],"Saída")</f>
        <v>0</v>
      </c>
      <c r="F18" s="94">
        <f t="shared" si="1"/>
        <v>0</v>
      </c>
      <c r="H18" s="47">
        <v>7</v>
      </c>
      <c r="I18" s="90" t="s">
        <v>13</v>
      </c>
      <c r="J18" s="92">
        <f>SUMIFS(Tab_Base[Valor],Tab_Base[Ano],$D$5,Tab_Base[Mês],H18,Tab_Base[Tipo],"Entrada")</f>
        <v>0</v>
      </c>
      <c r="K18" s="93">
        <f>SUMIFS(Tab_Base[Valor],Tab_Base[Ano],$D$5,Tab_Base[Mês],H18,Tab_Base[Tipo],"Saída")</f>
        <v>0</v>
      </c>
      <c r="L18" s="94">
        <f t="shared" si="2"/>
        <v>0</v>
      </c>
    </row>
    <row r="19" spans="2:12" ht="16.5" customHeight="1" thickBot="1" x14ac:dyDescent="0.3">
      <c r="B19" s="49">
        <v>12</v>
      </c>
      <c r="C19" s="91">
        <f t="shared" si="0"/>
        <v>45608</v>
      </c>
      <c r="D19" s="92">
        <f>SUMIFS(Tab_Base[Valor],Tab_Base[Data],DATE($D$5,$A$2,B19),Tab_Base[Tipo],"Entrada")</f>
        <v>0</v>
      </c>
      <c r="E19" s="93">
        <f>SUMIFS(Tab_Base[Valor],Tab_Base[Data],DATE($D$5,$A$2,B19),Tab_Base[Tipo],"Saída")</f>
        <v>0</v>
      </c>
      <c r="F19" s="94">
        <f t="shared" ref="F19:F30" si="3">D19-E19</f>
        <v>0</v>
      </c>
      <c r="H19" s="47">
        <v>8</v>
      </c>
      <c r="I19" s="90" t="s">
        <v>14</v>
      </c>
      <c r="J19" s="92">
        <f>SUMIFS(Tab_Base[Valor],Tab_Base[Ano],$D$5,Tab_Base[Mês],H19,Tab_Base[Tipo],"Entrada")</f>
        <v>0</v>
      </c>
      <c r="K19" s="93">
        <f>SUMIFS(Tab_Base[Valor],Tab_Base[Ano],$D$5,Tab_Base[Mês],H19,Tab_Base[Tipo],"Saída")</f>
        <v>0</v>
      </c>
      <c r="L19" s="94">
        <f t="shared" si="2"/>
        <v>0</v>
      </c>
    </row>
    <row r="20" spans="2:12" ht="16.5" customHeight="1" thickBot="1" x14ac:dyDescent="0.3">
      <c r="B20" s="49">
        <v>13</v>
      </c>
      <c r="C20" s="91">
        <f t="shared" si="0"/>
        <v>45609</v>
      </c>
      <c r="D20" s="92">
        <f>SUMIFS(Tab_Base[Valor],Tab_Base[Data],DATE($D$5,$A$2,B20),Tab_Base[Tipo],"Entrada")</f>
        <v>0</v>
      </c>
      <c r="E20" s="93">
        <f>SUMIFS(Tab_Base[Valor],Tab_Base[Data],DATE($D$5,$A$2,B20),Tab_Base[Tipo],"Saída")</f>
        <v>0</v>
      </c>
      <c r="F20" s="94">
        <f t="shared" si="3"/>
        <v>0</v>
      </c>
      <c r="H20" s="47">
        <v>9</v>
      </c>
      <c r="I20" s="90" t="s">
        <v>15</v>
      </c>
      <c r="J20" s="92">
        <f>SUMIFS(Tab_Base[Valor],Tab_Base[Ano],$D$5,Tab_Base[Mês],H20,Tab_Base[Tipo],"Entrada")</f>
        <v>0</v>
      </c>
      <c r="K20" s="93">
        <f>SUMIFS(Tab_Base[Valor],Tab_Base[Ano],$D$5,Tab_Base[Mês],H20,Tab_Base[Tipo],"Saída")</f>
        <v>0</v>
      </c>
      <c r="L20" s="94">
        <f t="shared" si="2"/>
        <v>0</v>
      </c>
    </row>
    <row r="21" spans="2:12" ht="16.5" customHeight="1" thickBot="1" x14ac:dyDescent="0.3">
      <c r="B21" s="49">
        <v>14</v>
      </c>
      <c r="C21" s="91">
        <f t="shared" si="0"/>
        <v>45610</v>
      </c>
      <c r="D21" s="92">
        <f>SUMIFS(Tab_Base[Valor],Tab_Base[Data],DATE($D$5,$A$2,B21),Tab_Base[Tipo],"Entrada")</f>
        <v>0</v>
      </c>
      <c r="E21" s="93">
        <f>SUMIFS(Tab_Base[Valor],Tab_Base[Data],DATE($D$5,$A$2,B21),Tab_Base[Tipo],"Saída")</f>
        <v>0</v>
      </c>
      <c r="F21" s="94">
        <f t="shared" si="3"/>
        <v>0</v>
      </c>
      <c r="H21" s="47">
        <v>10</v>
      </c>
      <c r="I21" s="90" t="s">
        <v>16</v>
      </c>
      <c r="J21" s="92">
        <f>SUMIFS(Tab_Base[Valor],Tab_Base[Ano],$D$5,Tab_Base[Mês],H21,Tab_Base[Tipo],"Entrada")</f>
        <v>2650.49</v>
      </c>
      <c r="K21" s="93">
        <f>SUMIFS(Tab_Base[Valor],Tab_Base[Ano],$D$5,Tab_Base[Mês],H21,Tab_Base[Tipo],"Saída")</f>
        <v>2648.4000000000005</v>
      </c>
      <c r="L21" s="94">
        <f t="shared" si="2"/>
        <v>2.089999999999236</v>
      </c>
    </row>
    <row r="22" spans="2:12" ht="16.5" customHeight="1" thickBot="1" x14ac:dyDescent="0.3">
      <c r="B22" s="49">
        <v>15</v>
      </c>
      <c r="C22" s="91">
        <f t="shared" si="0"/>
        <v>45611</v>
      </c>
      <c r="D22" s="92">
        <f>SUMIFS(Tab_Base[Valor],Tab_Base[Data],DATE($D$5,$A$2,B22),Tab_Base[Tipo],"Entrada")</f>
        <v>0</v>
      </c>
      <c r="E22" s="93">
        <f>SUMIFS(Tab_Base[Valor],Tab_Base[Data],DATE($D$5,$A$2,B22),Tab_Base[Tipo],"Saída")</f>
        <v>0</v>
      </c>
      <c r="F22" s="94">
        <f t="shared" si="3"/>
        <v>0</v>
      </c>
      <c r="H22" s="47">
        <v>11</v>
      </c>
      <c r="I22" s="90" t="s">
        <v>17</v>
      </c>
      <c r="J22" s="92">
        <f>SUMIFS(Tab_Base[Valor],Tab_Base[Ano],$D$5,Tab_Base[Mês],H22,Tab_Base[Tipo],"Entrada")</f>
        <v>2346</v>
      </c>
      <c r="K22" s="93">
        <f>SUMIFS(Tab_Base[Valor],Tab_Base[Ano],$D$5,Tab_Base[Mês],H22,Tab_Base[Tipo],"Saída")</f>
        <v>2277.2800000000002</v>
      </c>
      <c r="L22" s="94">
        <f t="shared" si="2"/>
        <v>68.7199999999998</v>
      </c>
    </row>
    <row r="23" spans="2:12" ht="16.5" customHeight="1" thickBot="1" x14ac:dyDescent="0.3">
      <c r="B23" s="49">
        <v>16</v>
      </c>
      <c r="C23" s="91">
        <f t="shared" si="0"/>
        <v>45612</v>
      </c>
      <c r="D23" s="92">
        <f>SUMIFS(Tab_Base[Valor],Tab_Base[Data],DATE($D$5,$A$2,B23),Tab_Base[Tipo],"Entrada")</f>
        <v>0</v>
      </c>
      <c r="E23" s="93">
        <f>SUMIFS(Tab_Base[Valor],Tab_Base[Data],DATE($D$5,$A$2,B23),Tab_Base[Tipo],"Saída")</f>
        <v>0</v>
      </c>
      <c r="F23" s="94">
        <f t="shared" si="3"/>
        <v>0</v>
      </c>
      <c r="H23" s="47">
        <v>12</v>
      </c>
      <c r="I23" s="90" t="s">
        <v>18</v>
      </c>
      <c r="J23" s="92">
        <f>SUMIFS(Tab_Base[Valor],Tab_Base[Ano],$D$5,Tab_Base[Mês],H23,Tab_Base[Tipo],"Entrada")</f>
        <v>0</v>
      </c>
      <c r="K23" s="93">
        <f>SUMIFS(Tab_Base[Valor],Tab_Base[Ano],$D$5,Tab_Base[Mês],H23,Tab_Base[Tipo],"Saída")</f>
        <v>0</v>
      </c>
      <c r="L23" s="94">
        <f t="shared" si="2"/>
        <v>0</v>
      </c>
    </row>
    <row r="24" spans="2:12" ht="16.5" customHeight="1" thickBot="1" x14ac:dyDescent="0.3">
      <c r="B24" s="49">
        <v>17</v>
      </c>
      <c r="C24" s="91">
        <f t="shared" si="0"/>
        <v>45613</v>
      </c>
      <c r="D24" s="92">
        <f>SUMIFS(Tab_Base[Valor],Tab_Base[Data],DATE($D$5,$A$2,B24),Tab_Base[Tipo],"Entrada")</f>
        <v>0</v>
      </c>
      <c r="E24" s="93">
        <f>SUMIFS(Tab_Base[Valor],Tab_Base[Data],DATE($D$5,$A$2,B24),Tab_Base[Tipo],"Saída")</f>
        <v>0</v>
      </c>
      <c r="F24" s="94">
        <f t="shared" si="3"/>
        <v>0</v>
      </c>
      <c r="G24" s="50"/>
      <c r="H24" s="89"/>
    </row>
    <row r="25" spans="2:12" ht="16.5" customHeight="1" thickTop="1" thickBot="1" x14ac:dyDescent="0.3">
      <c r="B25" s="49">
        <v>18</v>
      </c>
      <c r="C25" s="91">
        <f t="shared" si="0"/>
        <v>45614</v>
      </c>
      <c r="D25" s="92">
        <f>SUMIFS(Tab_Base[Valor],Tab_Base[Data],DATE($D$5,$A$2,B25),Tab_Base[Tipo],"Entrada")</f>
        <v>0</v>
      </c>
      <c r="E25" s="93">
        <f>SUMIFS(Tab_Base[Valor],Tab_Base[Data],DATE($D$5,$A$2,B25),Tab_Base[Tipo],"Saída")</f>
        <v>0</v>
      </c>
      <c r="F25" s="94">
        <f t="shared" si="3"/>
        <v>0</v>
      </c>
      <c r="I25" s="79" t="str">
        <f>"Total "&amp;D5</f>
        <v>Total 2024</v>
      </c>
      <c r="J25" s="83">
        <f>SUM(J12:J23)</f>
        <v>4996.49</v>
      </c>
      <c r="K25" s="84">
        <f>SUM(K12:K23)</f>
        <v>4925.68</v>
      </c>
      <c r="L25" s="85">
        <f>J25-K25</f>
        <v>70.809999999999491</v>
      </c>
    </row>
    <row r="26" spans="2:12" ht="16.5" customHeight="1" thickBot="1" x14ac:dyDescent="0.3">
      <c r="B26" s="49">
        <v>19</v>
      </c>
      <c r="C26" s="91">
        <f t="shared" si="0"/>
        <v>45615</v>
      </c>
      <c r="D26" s="92">
        <f>SUMIFS(Tab_Base[Valor],Tab_Base[Data],DATE($D$5,$A$2,B26),Tab_Base[Tipo],"Entrada")</f>
        <v>0</v>
      </c>
      <c r="E26" s="93">
        <f>SUMIFS(Tab_Base[Valor],Tab_Base[Data],DATE($D$5,$A$2,B26),Tab_Base[Tipo],"Saída")</f>
        <v>0</v>
      </c>
      <c r="F26" s="94">
        <f t="shared" si="3"/>
        <v>0</v>
      </c>
    </row>
    <row r="27" spans="2:12" ht="16.5" customHeight="1" thickBot="1" x14ac:dyDescent="0.3">
      <c r="B27" s="49">
        <v>20</v>
      </c>
      <c r="C27" s="91">
        <f t="shared" si="0"/>
        <v>45616</v>
      </c>
      <c r="D27" s="92">
        <f>SUMIFS(Tab_Base[Valor],Tab_Base[Data],DATE($D$5,$A$2,B27),Tab_Base[Tipo],"Entrada")</f>
        <v>0</v>
      </c>
      <c r="E27" s="93">
        <f>SUMIFS(Tab_Base[Valor],Tab_Base[Data],DATE($D$5,$A$2,B27),Tab_Base[Tipo],"Saída")</f>
        <v>0</v>
      </c>
      <c r="F27" s="94">
        <f t="shared" si="3"/>
        <v>0</v>
      </c>
    </row>
    <row r="28" spans="2:12" ht="16.5" customHeight="1" thickBot="1" x14ac:dyDescent="0.3">
      <c r="B28" s="49">
        <v>21</v>
      </c>
      <c r="C28" s="91">
        <f t="shared" si="0"/>
        <v>45617</v>
      </c>
      <c r="D28" s="92">
        <f>SUMIFS(Tab_Base[Valor],Tab_Base[Data],DATE($D$5,$A$2,B28),Tab_Base[Tipo],"Entrada")</f>
        <v>0</v>
      </c>
      <c r="E28" s="93">
        <f>SUMIFS(Tab_Base[Valor],Tab_Base[Data],DATE($D$5,$A$2,B28),Tab_Base[Tipo],"Saída")</f>
        <v>0</v>
      </c>
      <c r="F28" s="94">
        <f t="shared" si="3"/>
        <v>0</v>
      </c>
    </row>
    <row r="29" spans="2:12" ht="16.5" customHeight="1" thickBot="1" x14ac:dyDescent="0.3">
      <c r="B29" s="49">
        <v>22</v>
      </c>
      <c r="C29" s="91">
        <f t="shared" si="0"/>
        <v>45618</v>
      </c>
      <c r="D29" s="92">
        <f>SUMIFS(Tab_Base[Valor],Tab_Base[Data],DATE($D$5,$A$2,B29),Tab_Base[Tipo],"Entrada")</f>
        <v>0</v>
      </c>
      <c r="E29" s="93">
        <f>SUMIFS(Tab_Base[Valor],Tab_Base[Data],DATE($D$5,$A$2,B29),Tab_Base[Tipo],"Saída")</f>
        <v>0</v>
      </c>
      <c r="F29" s="94">
        <f t="shared" si="3"/>
        <v>0</v>
      </c>
    </row>
    <row r="30" spans="2:12" ht="16.5" customHeight="1" thickBot="1" x14ac:dyDescent="0.3">
      <c r="B30" s="49">
        <v>23</v>
      </c>
      <c r="C30" s="91">
        <f t="shared" si="0"/>
        <v>45619</v>
      </c>
      <c r="D30" s="92">
        <f>SUMIFS(Tab_Base[Valor],Tab_Base[Data],DATE($D$5,$A$2,B30),Tab_Base[Tipo],"Entrada")</f>
        <v>0</v>
      </c>
      <c r="E30" s="93">
        <f>SUMIFS(Tab_Base[Valor],Tab_Base[Data],DATE($D$5,$A$2,B30),Tab_Base[Tipo],"Saída")</f>
        <v>0</v>
      </c>
      <c r="F30" s="94">
        <f t="shared" si="3"/>
        <v>0</v>
      </c>
    </row>
    <row r="31" spans="2:12" ht="16.5" customHeight="1" thickBot="1" x14ac:dyDescent="0.3">
      <c r="B31" s="49">
        <v>24</v>
      </c>
      <c r="C31" s="91">
        <f t="shared" si="0"/>
        <v>45620</v>
      </c>
      <c r="D31" s="92">
        <f>SUMIFS(Tab_Base[Valor],Tab_Base[Data],DATE($D$5,$A$2,B31),Tab_Base[Tipo],"Entrada")</f>
        <v>0</v>
      </c>
      <c r="E31" s="93">
        <f>SUMIFS(Tab_Base[Valor],Tab_Base[Data],DATE($D$5,$A$2,B31),Tab_Base[Tipo],"Saída")</f>
        <v>0</v>
      </c>
      <c r="F31" s="94">
        <f t="shared" ref="F31:F35" si="4">D31-E31</f>
        <v>0</v>
      </c>
    </row>
    <row r="32" spans="2:12" ht="16.5" customHeight="1" thickBot="1" x14ac:dyDescent="0.3">
      <c r="B32" s="49">
        <v>25</v>
      </c>
      <c r="C32" s="91">
        <f t="shared" si="0"/>
        <v>45621</v>
      </c>
      <c r="D32" s="92">
        <f>SUMIFS(Tab_Base[Valor],Tab_Base[Data],DATE($D$5,$A$2,B32),Tab_Base[Tipo],"Entrada")</f>
        <v>0</v>
      </c>
      <c r="E32" s="93">
        <f>SUMIFS(Tab_Base[Valor],Tab_Base[Data],DATE($D$5,$A$2,B32),Tab_Base[Tipo],"Saída")</f>
        <v>0</v>
      </c>
      <c r="F32" s="94">
        <f t="shared" si="4"/>
        <v>0</v>
      </c>
    </row>
    <row r="33" spans="2:6" ht="16.5" customHeight="1" thickBot="1" x14ac:dyDescent="0.3">
      <c r="B33" s="49">
        <v>26</v>
      </c>
      <c r="C33" s="91">
        <f t="shared" si="0"/>
        <v>45622</v>
      </c>
      <c r="D33" s="92">
        <f>SUMIFS(Tab_Base[Valor],Tab_Base[Data],DATE($D$5,$A$2,B33),Tab_Base[Tipo],"Entrada")</f>
        <v>0</v>
      </c>
      <c r="E33" s="93">
        <f>SUMIFS(Tab_Base[Valor],Tab_Base[Data],DATE($D$5,$A$2,B33),Tab_Base[Tipo],"Saída")</f>
        <v>0</v>
      </c>
      <c r="F33" s="94">
        <f t="shared" si="4"/>
        <v>0</v>
      </c>
    </row>
    <row r="34" spans="2:6" ht="16.5" customHeight="1" thickBot="1" x14ac:dyDescent="0.3">
      <c r="B34" s="49">
        <v>27</v>
      </c>
      <c r="C34" s="91">
        <f t="shared" si="0"/>
        <v>45623</v>
      </c>
      <c r="D34" s="92">
        <f>SUMIFS(Tab_Base[Valor],Tab_Base[Data],DATE($D$5,$A$2,B34),Tab_Base[Tipo],"Entrada")</f>
        <v>0</v>
      </c>
      <c r="E34" s="93">
        <f>SUMIFS(Tab_Base[Valor],Tab_Base[Data],DATE($D$5,$A$2,B34),Tab_Base[Tipo],"Saída")</f>
        <v>0</v>
      </c>
      <c r="F34" s="94">
        <f t="shared" si="4"/>
        <v>0</v>
      </c>
    </row>
    <row r="35" spans="2:6" ht="16.5" customHeight="1" thickBot="1" x14ac:dyDescent="0.3">
      <c r="B35" s="49">
        <v>28</v>
      </c>
      <c r="C35" s="91">
        <f t="shared" si="0"/>
        <v>45624</v>
      </c>
      <c r="D35" s="92">
        <f>SUMIFS(Tab_Base[Valor],Tab_Base[Data],DATE($D$5,$A$2,B35),Tab_Base[Tipo],"Entrada")</f>
        <v>0</v>
      </c>
      <c r="E35" s="93">
        <f>SUMIFS(Tab_Base[Valor],Tab_Base[Data],DATE($D$5,$A$2,B35),Tab_Base[Tipo],"Saída")</f>
        <v>0</v>
      </c>
      <c r="F35" s="94">
        <f t="shared" si="4"/>
        <v>0</v>
      </c>
    </row>
    <row r="36" spans="2:6" ht="16.5" customHeight="1" thickBot="1" x14ac:dyDescent="0.3">
      <c r="B36" s="49">
        <f>IFERROR(IF(B35=$D$2,"-",B35+1),"-")</f>
        <v>29</v>
      </c>
      <c r="C36" s="91">
        <f t="shared" si="0"/>
        <v>45625</v>
      </c>
      <c r="D36" s="92">
        <f>IF(B36="-","-",SUMIFS(Tab_Base[Valor],Tab_Base[Data],DATE($D$5,$A$2,B36),Tab_Base[Tipo],"Entrada"))</f>
        <v>0</v>
      </c>
      <c r="E36" s="93">
        <f>IF(B36="-","-",SUMIFS(Tab_Base[Valor],Tab_Base[Data],DATE($D$5,$A$2,B36),Tab_Base[Tipo],"Saída"))</f>
        <v>0</v>
      </c>
      <c r="F36" s="94">
        <f>IFERROR(D36-E36,"-")</f>
        <v>0</v>
      </c>
    </row>
    <row r="37" spans="2:6" ht="16.5" customHeight="1" thickBot="1" x14ac:dyDescent="0.3">
      <c r="B37" s="49">
        <f t="shared" ref="B37:B38" si="5">IFERROR(IF(B36=$D$2,"-",B36+1),"-")</f>
        <v>30</v>
      </c>
      <c r="C37" s="91">
        <f t="shared" si="0"/>
        <v>45626</v>
      </c>
      <c r="D37" s="92">
        <f>IF(B37="-","-",SUMIFS(Tab_Base[Valor],Tab_Base[Data],DATE($D$5,$A$2,B37),Tab_Base[Tipo],"Entrada"))</f>
        <v>0</v>
      </c>
      <c r="E37" s="93">
        <f>IF(B37="-","-",SUMIFS(Tab_Base[Valor],Tab_Base[Data],DATE($D$5,$A$2,B37),Tab_Base[Tipo],"Saída"))</f>
        <v>0</v>
      </c>
      <c r="F37" s="94">
        <f t="shared" ref="F37:F38" si="6">IFERROR(D37-E37,"-")</f>
        <v>0</v>
      </c>
    </row>
    <row r="38" spans="2:6" ht="16.5" customHeight="1" thickBot="1" x14ac:dyDescent="0.3">
      <c r="B38" s="49" t="str">
        <f t="shared" si="5"/>
        <v>-</v>
      </c>
      <c r="C38" s="91" t="str">
        <f t="shared" si="0"/>
        <v>-</v>
      </c>
      <c r="D38" s="92" t="str">
        <f>IF(B38="-","-",SUMIFS(Tab_Base[Valor],Tab_Base[Data],DATE($D$5,$A$2,B38),Tab_Base[Tipo],"Entrada"))</f>
        <v>-</v>
      </c>
      <c r="E38" s="93" t="str">
        <f>IF(B38="-","-",SUMIFS(Tab_Base[Valor],Tab_Base[Data],DATE($D$5,$A$2,B38),Tab_Base[Tipo],"Saída"))</f>
        <v>-</v>
      </c>
      <c r="F38" s="94" t="str">
        <f t="shared" si="6"/>
        <v>-</v>
      </c>
    </row>
    <row r="39" spans="2:6" ht="7.5" customHeight="1" thickBot="1" x14ac:dyDescent="0.3"/>
    <row r="40" spans="2:6" ht="16.5" customHeight="1" thickTop="1" thickBot="1" x14ac:dyDescent="0.3">
      <c r="C40" s="79" t="s">
        <v>50</v>
      </c>
      <c r="D40" s="83">
        <f>SUM(D8:D38)</f>
        <v>2346</v>
      </c>
      <c r="E40" s="84">
        <f>SUM(E8:E38)</f>
        <v>2277.2800000000002</v>
      </c>
      <c r="F40" s="85">
        <f>D40-E40</f>
        <v>68.7199999999998</v>
      </c>
    </row>
    <row r="41" spans="2:6" ht="15" thickTop="1" x14ac:dyDescent="0.25"/>
  </sheetData>
  <mergeCells count="2">
    <mergeCell ref="B3:E3"/>
    <mergeCell ref="J9:L10"/>
  </mergeCells>
  <phoneticPr fontId="5" type="noConversion"/>
  <dataValidations count="2">
    <dataValidation type="list" allowBlank="1" showInputMessage="1" showErrorMessage="1" sqref="F5" xr:uid="{5D88FC44-3891-48EF-B81F-15C62217B90D}">
      <formula1>$I$12:$I$23</formula1>
    </dataValidation>
    <dataValidation type="list" allowBlank="1" showInputMessage="1" showErrorMessage="1" sqref="G5:J5" xr:uid="{CDF1E314-38F0-42A0-91D6-4FC04575DF11}">
      <formula1>$F$1:$Q$1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2" r:id="rId4" name="Spinner 8">
              <controlPr defaultSize="0" autoPict="0">
                <anchor moveWithCells="1" sizeWithCells="1">
                  <from>
                    <xdr:col>3</xdr:col>
                    <xdr:colOff>1009650</xdr:colOff>
                    <xdr:row>3</xdr:row>
                    <xdr:rowOff>171450</xdr:rowOff>
                  </from>
                  <to>
                    <xdr:col>4</xdr:col>
                    <xdr:colOff>19050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FC26-9CE3-4DF4-8D37-07757D6F4A2C}">
  <dimension ref="A1:AK28"/>
  <sheetViews>
    <sheetView showGridLines="0" showRowColHeaders="0" topLeftCell="A4" zoomScale="115" zoomScaleNormal="115" workbookViewId="0">
      <selection activeCell="R7" sqref="R7"/>
    </sheetView>
  </sheetViews>
  <sheetFormatPr defaultColWidth="9.140625" defaultRowHeight="16.5" x14ac:dyDescent="0.3"/>
  <cols>
    <col min="1" max="1" width="12.7109375" style="87" customWidth="1"/>
    <col min="2" max="2" width="29.140625" style="29" bestFit="1" customWidth="1"/>
    <col min="3" max="3" width="20.5703125" style="29" hidden="1" customWidth="1"/>
    <col min="4" max="14" width="16.7109375" style="29" hidden="1" customWidth="1"/>
    <col min="15" max="15" width="18.7109375" style="29" hidden="1" customWidth="1"/>
    <col min="16" max="16" width="12" style="29" hidden="1" customWidth="1"/>
    <col min="17" max="17" width="2.42578125" style="29" customWidth="1"/>
    <col min="18" max="18" width="26.7109375" style="29" customWidth="1"/>
    <col min="19" max="19" width="13.5703125" style="29" hidden="1" customWidth="1"/>
    <col min="20" max="20" width="12.42578125" style="29" hidden="1" customWidth="1"/>
    <col min="21" max="21" width="9.42578125" style="29" hidden="1" customWidth="1"/>
    <col min="22" max="23" width="9.140625" style="29" hidden="1" customWidth="1"/>
    <col min="24" max="24" width="9.28515625" style="29" hidden="1" customWidth="1"/>
    <col min="25" max="25" width="9.140625" style="29" hidden="1" customWidth="1"/>
    <col min="26" max="26" width="10.42578125" style="29" hidden="1" customWidth="1"/>
    <col min="27" max="27" width="12.85546875" style="29" hidden="1" customWidth="1"/>
    <col min="28" max="28" width="11.5703125" style="29" hidden="1" customWidth="1"/>
    <col min="29" max="29" width="13.85546875" style="29" hidden="1" customWidth="1"/>
    <col min="30" max="30" width="13.42578125" style="29" hidden="1" customWidth="1"/>
    <col min="31" max="31" width="9.140625" style="29" hidden="1" customWidth="1"/>
    <col min="32" max="32" width="24.85546875" style="29" hidden="1" customWidth="1"/>
    <col min="33" max="33" width="2.28515625" style="29" customWidth="1"/>
    <col min="34" max="34" width="24" style="29" customWidth="1"/>
    <col min="35" max="35" width="19" style="29" customWidth="1"/>
    <col min="36" max="36" width="5.140625" style="29" customWidth="1"/>
    <col min="37" max="37" width="33.28515625" style="29" customWidth="1"/>
    <col min="38" max="16384" width="9.140625" style="29"/>
  </cols>
  <sheetData>
    <row r="1" spans="1:37" s="24" customFormat="1" ht="17.25" hidden="1" thickBot="1" x14ac:dyDescent="0.35">
      <c r="A1" s="87"/>
      <c r="B1" s="26" t="s">
        <v>19</v>
      </c>
      <c r="C1" s="8">
        <f>SUM(tb_saidas[Janeiro])</f>
        <v>0</v>
      </c>
      <c r="D1" s="8">
        <f>SUM(tb_saidas[Fevereiro])</f>
        <v>0</v>
      </c>
      <c r="E1" s="8">
        <f>SUM(tb_saidas[Março])</f>
        <v>0</v>
      </c>
      <c r="F1" s="8">
        <f>SUM(tb_saidas[Abril])</f>
        <v>0</v>
      </c>
      <c r="G1" s="8">
        <f>SUM(tb_saidas[Maio])</f>
        <v>0</v>
      </c>
      <c r="H1" s="8">
        <f>SUM(tb_saidas[Junho])</f>
        <v>0</v>
      </c>
      <c r="I1" s="8">
        <f>SUM(tb_saidas[Julho])</f>
        <v>0</v>
      </c>
      <c r="J1" s="8">
        <f>SUM(tb_saidas[Agosto])</f>
        <v>0</v>
      </c>
      <c r="K1" s="8">
        <f>SUM(tb_saidas[Setembro])</f>
        <v>0</v>
      </c>
      <c r="L1" s="8">
        <f>SUM(tb_saidas[Outubro])</f>
        <v>2545.62</v>
      </c>
      <c r="M1" s="8">
        <f>SUM(tb_saidas[Novembro])</f>
        <v>2075.13</v>
      </c>
      <c r="N1" s="8">
        <f>SUM(tb_saidas[Dezembro])</f>
        <v>0</v>
      </c>
      <c r="O1" s="8">
        <f>SUM(tb_saidas[Total])</f>
        <v>4620.75</v>
      </c>
      <c r="P1" s="8">
        <f>SUM(tb_saidas[Total Per])</f>
        <v>4925.6799999999994</v>
      </c>
      <c r="R1" s="26" t="s">
        <v>19</v>
      </c>
      <c r="S1" s="8">
        <f>SUM(tb_entradas[Janeiro])</f>
        <v>0</v>
      </c>
      <c r="T1" s="8">
        <f>SUM(tb_entradas[Fevereiro])</f>
        <v>0</v>
      </c>
      <c r="U1" s="8">
        <f>SUM(tb_entradas[Março])</f>
        <v>0</v>
      </c>
      <c r="V1" s="8">
        <f>SUM(tb_entradas[Abril])</f>
        <v>0</v>
      </c>
      <c r="W1" s="8">
        <f>SUM(tb_entradas[Maio])</f>
        <v>0</v>
      </c>
      <c r="X1" s="8">
        <f>SUM(tb_entradas[Junho])</f>
        <v>0</v>
      </c>
      <c r="Y1" s="8">
        <f>SUM(tb_entradas[Julho])</f>
        <v>0</v>
      </c>
      <c r="Z1" s="8">
        <f>SUM(tb_entradas[Agosto])</f>
        <v>0</v>
      </c>
      <c r="AA1" s="8">
        <f>SUM(tb_entradas[Setembro])</f>
        <v>0</v>
      </c>
      <c r="AB1" s="8">
        <f>SUM(tb_entradas[Outubro])</f>
        <v>2296</v>
      </c>
      <c r="AC1" s="8">
        <f>SUM(tb_entradas[Novembro])</f>
        <v>2346</v>
      </c>
      <c r="AD1" s="8">
        <f>SUM(tb_entradas[Dezembro])</f>
        <v>0</v>
      </c>
      <c r="AE1" s="8">
        <f>SUM(tb_entradas[Total])</f>
        <v>4642</v>
      </c>
      <c r="AF1" s="8">
        <f>SUM(tb_entradas[Total Per])</f>
        <v>4642</v>
      </c>
    </row>
    <row r="2" spans="1:37" s="24" customFormat="1" hidden="1" x14ac:dyDescent="0.3">
      <c r="A2" s="87"/>
      <c r="C2" s="25"/>
      <c r="P2" s="27">
        <f>DashBoard!J11</f>
        <v>45566</v>
      </c>
      <c r="AF2" s="27">
        <f>DashBoard!J11</f>
        <v>45566</v>
      </c>
    </row>
    <row r="3" spans="1:37" hidden="1" x14ac:dyDescent="0.3">
      <c r="B3" s="1">
        <f>DashBoard!C3</f>
        <v>2024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/>
      <c r="P3" s="28">
        <f>DashBoard!M11</f>
        <v>45657</v>
      </c>
      <c r="R3" s="1">
        <f>DashBoard!C3</f>
        <v>2024</v>
      </c>
      <c r="S3" s="1">
        <v>1</v>
      </c>
      <c r="T3" s="1">
        <v>2</v>
      </c>
      <c r="U3" s="1">
        <v>3</v>
      </c>
      <c r="V3" s="1">
        <v>4</v>
      </c>
      <c r="W3" s="1">
        <v>5</v>
      </c>
      <c r="X3" s="1">
        <v>6</v>
      </c>
      <c r="Y3" s="1">
        <v>7</v>
      </c>
      <c r="Z3" s="1">
        <v>8</v>
      </c>
      <c r="AA3" s="1">
        <v>9</v>
      </c>
      <c r="AB3" s="1">
        <v>10</v>
      </c>
      <c r="AC3" s="1">
        <v>11</v>
      </c>
      <c r="AD3" s="1">
        <v>12</v>
      </c>
      <c r="AE3" s="1"/>
      <c r="AF3" s="28">
        <f>DashBoard!M11</f>
        <v>45657</v>
      </c>
    </row>
    <row r="4" spans="1:37" ht="17.25" thickBot="1" x14ac:dyDescent="0.35">
      <c r="B4" s="30" t="s">
        <v>6</v>
      </c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30" t="s">
        <v>12</v>
      </c>
      <c r="I4" s="30" t="s">
        <v>13</v>
      </c>
      <c r="J4" s="30" t="s">
        <v>14</v>
      </c>
      <c r="K4" s="30" t="s">
        <v>15</v>
      </c>
      <c r="L4" s="30" t="s">
        <v>16</v>
      </c>
      <c r="M4" s="30" t="s">
        <v>17</v>
      </c>
      <c r="N4" s="30" t="s">
        <v>18</v>
      </c>
      <c r="O4" s="30" t="s">
        <v>19</v>
      </c>
      <c r="P4" s="30" t="s">
        <v>29</v>
      </c>
      <c r="R4" s="30" t="s">
        <v>20</v>
      </c>
      <c r="S4" s="31" t="s">
        <v>7</v>
      </c>
      <c r="T4" s="31" t="s">
        <v>8</v>
      </c>
      <c r="U4" s="31" t="s">
        <v>9</v>
      </c>
      <c r="V4" s="31" t="s">
        <v>10</v>
      </c>
      <c r="W4" s="31" t="s">
        <v>11</v>
      </c>
      <c r="X4" s="31" t="s">
        <v>12</v>
      </c>
      <c r="Y4" s="31" t="s">
        <v>13</v>
      </c>
      <c r="Z4" s="31" t="s">
        <v>14</v>
      </c>
      <c r="AA4" s="31" t="s">
        <v>15</v>
      </c>
      <c r="AB4" s="31" t="s">
        <v>16</v>
      </c>
      <c r="AC4" s="31" t="s">
        <v>17</v>
      </c>
      <c r="AD4" s="31" t="s">
        <v>18</v>
      </c>
      <c r="AE4" s="31" t="s">
        <v>19</v>
      </c>
      <c r="AF4" s="32" t="s">
        <v>29</v>
      </c>
      <c r="AH4" s="75" t="s">
        <v>48</v>
      </c>
      <c r="AI4" s="76">
        <v>7.0000000000000007E-2</v>
      </c>
      <c r="AK4" s="95" t="s">
        <v>52</v>
      </c>
    </row>
    <row r="5" spans="1:37" ht="17.25" thickBot="1" x14ac:dyDescent="0.35">
      <c r="B5" s="46" t="s">
        <v>69</v>
      </c>
      <c r="C5" s="7">
        <f>SUMIFS(Tab_Base[[Valor]:[Valor]],Tab_Base[[Categoria]:[Categoria]],$B2,Tab_Base[[Mês]:[Mês]],C$3,Tab_Base[[Ano]:[Ano]],$B$3,Tab_Base[[Tipo]:[Tipo]],"Saída")</f>
        <v>0</v>
      </c>
      <c r="D5" s="7">
        <f>SUMIFS(Tab_Base[[Valor]:[Valor]],Tab_Base[[Categoria]:[Categoria]],$B2,Tab_Base[[Mês]:[Mês]],D$3,Tab_Base[[Ano]:[Ano]],$B$3,Tab_Base[[Tipo]:[Tipo]],"Saída")</f>
        <v>0</v>
      </c>
      <c r="E5" s="7">
        <f>SUMIFS(Tab_Base[[Valor]:[Valor]],Tab_Base[[Categoria]:[Categoria]],$B2,Tab_Base[[Mês]:[Mês]],E$3,Tab_Base[[Ano]:[Ano]],$B$3,Tab_Base[[Tipo]:[Tipo]],"Saída")</f>
        <v>0</v>
      </c>
      <c r="F5" s="7">
        <f>SUMIFS(Tab_Base[[Valor]:[Valor]],Tab_Base[[Categoria]:[Categoria]],$B2,Tab_Base[[Mês]:[Mês]],F$3,Tab_Base[[Ano]:[Ano]],$B$3,Tab_Base[[Tipo]:[Tipo]],"Saída")</f>
        <v>0</v>
      </c>
      <c r="G5" s="7">
        <f>SUMIFS(Tab_Base[[Valor]:[Valor]],Tab_Base[[Categoria]:[Categoria]],$B2,Tab_Base[[Mês]:[Mês]],G$3,Tab_Base[[Ano]:[Ano]],$B$3,Tab_Base[[Tipo]:[Tipo]],"Saída")</f>
        <v>0</v>
      </c>
      <c r="H5" s="7">
        <f>SUMIFS(Tab_Base[[Valor]:[Valor]],Tab_Base[[Categoria]:[Categoria]],$B2,Tab_Base[[Mês]:[Mês]],H$3,Tab_Base[[Ano]:[Ano]],$B$3,Tab_Base[[Tipo]:[Tipo]],"Saída")</f>
        <v>0</v>
      </c>
      <c r="I5" s="7">
        <f>SUMIFS(Tab_Base[[Valor]:[Valor]],Tab_Base[[Categoria]:[Categoria]],$B2,Tab_Base[[Mês]:[Mês]],I$3,Tab_Base[[Ano]:[Ano]],$B$3,Tab_Base[[Tipo]:[Tipo]],"Saída")</f>
        <v>0</v>
      </c>
      <c r="J5" s="7">
        <f>SUMIFS(Tab_Base[[Valor]:[Valor]],Tab_Base[[Categoria]:[Categoria]],$B2,Tab_Base[[Mês]:[Mês]],J$3,Tab_Base[[Ano]:[Ano]],$B$3,Tab_Base[[Tipo]:[Tipo]],"Saída")</f>
        <v>0</v>
      </c>
      <c r="K5" s="7">
        <f>SUMIFS(Tab_Base[[Valor]:[Valor]],Tab_Base[[Categoria]:[Categoria]],$B2,Tab_Base[[Mês]:[Mês]],K$3,Tab_Base[[Ano]:[Ano]],$B$3,Tab_Base[[Tipo]:[Tipo]],"Saída")</f>
        <v>0</v>
      </c>
      <c r="L5" s="7">
        <f>SUMIFS(Tab_Base[[Valor]:[Valor]],Tab_Base[[Categoria]:[Categoria]],$B2,Tab_Base[[Mês]:[Mês]],L$3,Tab_Base[[Ano]:[Ano]],$B$3,Tab_Base[[Tipo]:[Tipo]],"Saída")</f>
        <v>0</v>
      </c>
      <c r="M5" s="7">
        <f>SUMIFS(Tab_Base[[Valor]:[Valor]],Tab_Base[[Categoria]:[Categoria]],$B2,Tab_Base[[Mês]:[Mês]],M$3,Tab_Base[[Ano]:[Ano]],$B$3,Tab_Base[[Tipo]:[Tipo]],"Saída")</f>
        <v>0</v>
      </c>
      <c r="N5" s="7">
        <f>SUMIFS(Tab_Base[[Valor]:[Valor]],Tab_Base[[Categoria]:[Categoria]],$B2,Tab_Base[[Mês]:[Mês]],N$3,Tab_Base[[Ano]:[Ano]],$B$3,Tab_Base[[Tipo]:[Tipo]],"Saída")</f>
        <v>0</v>
      </c>
      <c r="O5" s="7">
        <f>SUM(tb_saidas[[#This Row],[Janeiro]:[Dezembro]])</f>
        <v>0</v>
      </c>
      <c r="P5" s="7">
        <f>SUMIFS(Tab_Base[Valor],Tab_Base[Categoria],tb_saidas[[#This Row],[Saídas]],Tab_Base[Data],"&gt;="&amp;$P$2,Tab_Base[Data],"&lt;="&amp;$P$3,Tab_Base[Tipo],"Saída")</f>
        <v>50</v>
      </c>
      <c r="R5" s="33" t="s">
        <v>60</v>
      </c>
      <c r="S5" s="7">
        <f>SUMIFS(Tab_Base[[Valor]:[Valor]],Tab_Base[[Categoria]:[Categoria]],$R5,Tab_Base[[Mês]:[Mês]],S$3,Tab_Base[[Ano]:[Ano]],$R$3,Tab_Base[[Tipo]:[Tipo]],"Entrada")</f>
        <v>0</v>
      </c>
      <c r="T5" s="7">
        <f>SUMIFS(Tab_Base[[Valor]:[Valor]],Tab_Base[[Categoria]:[Categoria]],$R5,Tab_Base[[Mês]:[Mês]],T$3,Tab_Base[[Ano]:[Ano]],$R$3,Tab_Base[[Tipo]:[Tipo]],"Entrada")</f>
        <v>0</v>
      </c>
      <c r="U5" s="7">
        <f>SUMIFS(Tab_Base[[Valor]:[Valor]],Tab_Base[[Categoria]:[Categoria]],$R5,Tab_Base[[Mês]:[Mês]],U$3,Tab_Base[[Ano]:[Ano]],$R$3,Tab_Base[[Tipo]:[Tipo]],"Entrada")</f>
        <v>0</v>
      </c>
      <c r="V5" s="7">
        <f>SUMIFS(Tab_Base[[Valor]:[Valor]],Tab_Base[[Categoria]:[Categoria]],$R5,Tab_Base[[Mês]:[Mês]],V$3,Tab_Base[[Ano]:[Ano]],$R$3,Tab_Base[[Tipo]:[Tipo]],"Entrada")</f>
        <v>0</v>
      </c>
      <c r="W5" s="7">
        <f>SUMIFS(Tab_Base[[Valor]:[Valor]],Tab_Base[[Categoria]:[Categoria]],$R5,Tab_Base[[Mês]:[Mês]],W$3,Tab_Base[[Ano]:[Ano]],$R$3,Tab_Base[[Tipo]:[Tipo]],"Entrada")</f>
        <v>0</v>
      </c>
      <c r="X5" s="7">
        <f>SUMIFS(Tab_Base[[Valor]:[Valor]],Tab_Base[[Categoria]:[Categoria]],$R5,Tab_Base[[Mês]:[Mês]],X$3,Tab_Base[[Ano]:[Ano]],$R$3,Tab_Base[[Tipo]:[Tipo]],"Entrada")</f>
        <v>0</v>
      </c>
      <c r="Y5" s="7">
        <f>SUMIFS(Tab_Base[[Valor]:[Valor]],Tab_Base[[Categoria]:[Categoria]],$R5,Tab_Base[[Mês]:[Mês]],Y$3,Tab_Base[[Ano]:[Ano]],$R$3,Tab_Base[[Tipo]:[Tipo]],"Entrada")</f>
        <v>0</v>
      </c>
      <c r="Z5" s="7">
        <f>SUMIFS(Tab_Base[[Valor]:[Valor]],Tab_Base[[Categoria]:[Categoria]],$R5,Tab_Base[[Mês]:[Mês]],Z$3,Tab_Base[[Ano]:[Ano]],$R$3,Tab_Base[[Tipo]:[Tipo]],"Entrada")</f>
        <v>0</v>
      </c>
      <c r="AA5" s="7">
        <f>SUMIFS(Tab_Base[[Valor]:[Valor]],Tab_Base[[Categoria]:[Categoria]],$R5,Tab_Base[[Mês]:[Mês]],AA$3,Tab_Base[[Ano]:[Ano]],$R$3,Tab_Base[[Tipo]:[Tipo]],"Entrada")</f>
        <v>0</v>
      </c>
      <c r="AB5" s="7">
        <f>SUMIFS(Tab_Base[[Valor]:[Valor]],Tab_Base[[Categoria]:[Categoria]],$R5,Tab_Base[[Mês]:[Mês]],AB$3,Tab_Base[[Ano]:[Ano]],$R$3,Tab_Base[[Tipo]:[Tipo]],"Entrada")</f>
        <v>2296</v>
      </c>
      <c r="AC5" s="7">
        <f>SUMIFS(Tab_Base[[Valor]:[Valor]],Tab_Base[[Categoria]:[Categoria]],$R5,Tab_Base[[Mês]:[Mês]],AC$3,Tab_Base[[Ano]:[Ano]],$R$3,Tab_Base[[Tipo]:[Tipo]],"Entrada")</f>
        <v>2296</v>
      </c>
      <c r="AD5" s="7">
        <f>SUMIFS(Tab_Base[[Valor]:[Valor]],Tab_Base[[Categoria]:[Categoria]],$R5,Tab_Base[[Mês]:[Mês]],AD$3,Tab_Base[[Ano]:[Ano]],$R$3,Tab_Base[[Tipo]:[Tipo]],"Entrada")</f>
        <v>0</v>
      </c>
      <c r="AE5" s="7">
        <f>SUM(tb_entradas[[#This Row],[Janeiro]:[Dezembro]])</f>
        <v>4592</v>
      </c>
      <c r="AF5" s="7">
        <f>SUMIFS(Tab_Base[Valor],Tab_Base[Categoria],tb_entradas[[#This Row],[Entradas]],Tab_Base[Data],"&gt;="&amp;$AF$2,Tab_Base[Data],"&lt;="&amp;$AF$3,Tab_Base[Tipo],"Entrada")</f>
        <v>4592</v>
      </c>
      <c r="AK5" s="96"/>
    </row>
    <row r="6" spans="1:37" ht="17.25" thickBot="1" x14ac:dyDescent="0.35">
      <c r="B6" s="46" t="s">
        <v>63</v>
      </c>
      <c r="C6" s="7">
        <f>SUMIFS(Tab_Base[[Valor]:[Valor]],Tab_Base[[Categoria]:[Categoria]],#REF!,Tab_Base[[Mês]:[Mês]],C$3,Tab_Base[[Ano]:[Ano]],$B$3,Tab_Base[[Tipo]:[Tipo]],"Saída")</f>
        <v>0</v>
      </c>
      <c r="D6" s="7">
        <f>SUMIFS(Tab_Base[[Valor]:[Valor]],Tab_Base[[Categoria]:[Categoria]],#REF!,Tab_Base[[Mês]:[Mês]],D$3,Tab_Base[[Ano]:[Ano]],$B$3,Tab_Base[[Tipo]:[Tipo]],"Saída")</f>
        <v>0</v>
      </c>
      <c r="E6" s="7">
        <f>SUMIFS(Tab_Base[[Valor]:[Valor]],Tab_Base[[Categoria]:[Categoria]],#REF!,Tab_Base[[Mês]:[Mês]],E$3,Tab_Base[[Ano]:[Ano]],$B$3,Tab_Base[[Tipo]:[Tipo]],"Saída")</f>
        <v>0</v>
      </c>
      <c r="F6" s="7">
        <f>SUMIFS(Tab_Base[[Valor]:[Valor]],Tab_Base[[Categoria]:[Categoria]],#REF!,Tab_Base[[Mês]:[Mês]],F$3,Tab_Base[[Ano]:[Ano]],$B$3,Tab_Base[[Tipo]:[Tipo]],"Saída")</f>
        <v>0</v>
      </c>
      <c r="G6" s="7">
        <f>SUMIFS(Tab_Base[[Valor]:[Valor]],Tab_Base[[Categoria]:[Categoria]],#REF!,Tab_Base[[Mês]:[Mês]],G$3,Tab_Base[[Ano]:[Ano]],$B$3,Tab_Base[[Tipo]:[Tipo]],"Saída")</f>
        <v>0</v>
      </c>
      <c r="H6" s="7">
        <f>SUMIFS(Tab_Base[[Valor]:[Valor]],Tab_Base[[Categoria]:[Categoria]],#REF!,Tab_Base[[Mês]:[Mês]],H$3,Tab_Base[[Ano]:[Ano]],$B$3,Tab_Base[[Tipo]:[Tipo]],"Saída")</f>
        <v>0</v>
      </c>
      <c r="I6" s="7">
        <f>SUMIFS(Tab_Base[[Valor]:[Valor]],Tab_Base[[Categoria]:[Categoria]],#REF!,Tab_Base[[Mês]:[Mês]],I$3,Tab_Base[[Ano]:[Ano]],$B$3,Tab_Base[[Tipo]:[Tipo]],"Saída")</f>
        <v>0</v>
      </c>
      <c r="J6" s="7">
        <f>SUMIFS(Tab_Base[[Valor]:[Valor]],Tab_Base[[Categoria]:[Categoria]],#REF!,Tab_Base[[Mês]:[Mês]],J$3,Tab_Base[[Ano]:[Ano]],$B$3,Tab_Base[[Tipo]:[Tipo]],"Saída")</f>
        <v>0</v>
      </c>
      <c r="K6" s="7">
        <f>SUMIFS(Tab_Base[[Valor]:[Valor]],Tab_Base[[Categoria]:[Categoria]],#REF!,Tab_Base[[Mês]:[Mês]],K$3,Tab_Base[[Ano]:[Ano]],$B$3,Tab_Base[[Tipo]:[Tipo]],"Saída")</f>
        <v>0</v>
      </c>
      <c r="L6" s="7">
        <f>SUMIFS(Tab_Base[[Valor]:[Valor]],Tab_Base[[Categoria]:[Categoria]],#REF!,Tab_Base[[Mês]:[Mês]],L$3,Tab_Base[[Ano]:[Ano]],$B$3,Tab_Base[[Tipo]:[Tipo]],"Saída")</f>
        <v>0</v>
      </c>
      <c r="M6" s="7">
        <f>SUMIFS(Tab_Base[[Valor]:[Valor]],Tab_Base[[Categoria]:[Categoria]],#REF!,Tab_Base[[Mês]:[Mês]],M$3,Tab_Base[[Ano]:[Ano]],$B$3,Tab_Base[[Tipo]:[Tipo]],"Saída")</f>
        <v>0</v>
      </c>
      <c r="N6" s="7">
        <f>SUMIFS(Tab_Base[[Valor]:[Valor]],Tab_Base[[Categoria]:[Categoria]],#REF!,Tab_Base[[Mês]:[Mês]],N$3,Tab_Base[[Ano]:[Ano]],$B$3,Tab_Base[[Tipo]:[Tipo]],"Saída")</f>
        <v>0</v>
      </c>
      <c r="O6" s="7">
        <f>SUM(tb_saidas[[#This Row],[Janeiro]:[Dezembro]])</f>
        <v>0</v>
      </c>
      <c r="P6" s="7">
        <f>SUMIFS(Tab_Base[Valor],Tab_Base[Categoria],tb_saidas[[#This Row],[Saídas]],Tab_Base[Data],"&gt;="&amp;$P$2,Tab_Base[Data],"&lt;="&amp;$P$3,Tab_Base[Tipo],"Saída")</f>
        <v>3132.95</v>
      </c>
      <c r="R6" s="33" t="s">
        <v>86</v>
      </c>
      <c r="S6" s="7">
        <f>SUMIFS(Tab_Base[[Valor]:[Valor]],Tab_Base[[Categoria]:[Categoria]],$R6,Tab_Base[[Mês]:[Mês]],S$3,Tab_Base[[Ano]:[Ano]],$R$3,Tab_Base[[Tipo]:[Tipo]],"Entrada")</f>
        <v>0</v>
      </c>
      <c r="T6" s="7">
        <f>SUMIFS(Tab_Base[[Valor]:[Valor]],Tab_Base[[Categoria]:[Categoria]],$R6,Tab_Base[[Mês]:[Mês]],T$3,Tab_Base[[Ano]:[Ano]],$R$3,Tab_Base[[Tipo]:[Tipo]],"Entrada")</f>
        <v>0</v>
      </c>
      <c r="U6" s="7">
        <f>SUMIFS(Tab_Base[[Valor]:[Valor]],Tab_Base[[Categoria]:[Categoria]],$R6,Tab_Base[[Mês]:[Mês]],U$3,Tab_Base[[Ano]:[Ano]],$R$3,Tab_Base[[Tipo]:[Tipo]],"Entrada")</f>
        <v>0</v>
      </c>
      <c r="V6" s="7">
        <f>SUMIFS(Tab_Base[[Valor]:[Valor]],Tab_Base[[Categoria]:[Categoria]],$R6,Tab_Base[[Mês]:[Mês]],V$3,Tab_Base[[Ano]:[Ano]],$R$3,Tab_Base[[Tipo]:[Tipo]],"Entrada")</f>
        <v>0</v>
      </c>
      <c r="W6" s="7">
        <f>SUMIFS(Tab_Base[[Valor]:[Valor]],Tab_Base[[Categoria]:[Categoria]],$R6,Tab_Base[[Mês]:[Mês]],W$3,Tab_Base[[Ano]:[Ano]],$R$3,Tab_Base[[Tipo]:[Tipo]],"Entrada")</f>
        <v>0</v>
      </c>
      <c r="X6" s="7">
        <f>SUMIFS(Tab_Base[[Valor]:[Valor]],Tab_Base[[Categoria]:[Categoria]],$R6,Tab_Base[[Mês]:[Mês]],X$3,Tab_Base[[Ano]:[Ano]],$R$3,Tab_Base[[Tipo]:[Tipo]],"Entrada")</f>
        <v>0</v>
      </c>
      <c r="Y6" s="7">
        <f>SUMIFS(Tab_Base[[Valor]:[Valor]],Tab_Base[[Categoria]:[Categoria]],$R6,Tab_Base[[Mês]:[Mês]],Y$3,Tab_Base[[Ano]:[Ano]],$R$3,Tab_Base[[Tipo]:[Tipo]],"Entrada")</f>
        <v>0</v>
      </c>
      <c r="Z6" s="7">
        <f>SUMIFS(Tab_Base[[Valor]:[Valor]],Tab_Base[[Categoria]:[Categoria]],$R6,Tab_Base[[Mês]:[Mês]],Z$3,Tab_Base[[Ano]:[Ano]],$R$3,Tab_Base[[Tipo]:[Tipo]],"Entrada")</f>
        <v>0</v>
      </c>
      <c r="AA6" s="7">
        <f>SUMIFS(Tab_Base[[Valor]:[Valor]],Tab_Base[[Categoria]:[Categoria]],$R6,Tab_Base[[Mês]:[Mês]],AA$3,Tab_Base[[Ano]:[Ano]],$R$3,Tab_Base[[Tipo]:[Tipo]],"Entrada")</f>
        <v>0</v>
      </c>
      <c r="AB6" s="7">
        <f>SUMIFS(Tab_Base[[Valor]:[Valor]],Tab_Base[[Categoria]:[Categoria]],$R6,Tab_Base[[Mês]:[Mês]],AB$3,Tab_Base[[Ano]:[Ano]],$R$3,Tab_Base[[Tipo]:[Tipo]],"Entrada")</f>
        <v>0</v>
      </c>
      <c r="AC6" s="7">
        <f>SUMIFS(Tab_Base[[Valor]:[Valor]],Tab_Base[[Categoria]:[Categoria]],$R6,Tab_Base[[Mês]:[Mês]],AC$3,Tab_Base[[Ano]:[Ano]],$R$3,Tab_Base[[Tipo]:[Tipo]],"Entrada")</f>
        <v>50</v>
      </c>
      <c r="AD6" s="7">
        <f>SUMIFS(Tab_Base[[Valor]:[Valor]],Tab_Base[[Categoria]:[Categoria]],$R6,Tab_Base[[Mês]:[Mês]],AD$3,Tab_Base[[Ano]:[Ano]],$R$3,Tab_Base[[Tipo]:[Tipo]],"Entrada")</f>
        <v>0</v>
      </c>
      <c r="AE6" s="7">
        <f>SUM(tb_entradas[[#This Row],[Janeiro]:[Dezembro]])</f>
        <v>50</v>
      </c>
      <c r="AF6" s="7">
        <f>SUMIFS(Tab_Base[Valor],Tab_Base[Categoria],tb_entradas[[#This Row],[Entradas]],Tab_Base[Data],"&gt;="&amp;$AF$2,Tab_Base[Data],"&lt;="&amp;$AF$3,Tab_Base[Tipo],"Entrada")</f>
        <v>50</v>
      </c>
    </row>
    <row r="7" spans="1:37" ht="17.25" thickBot="1" x14ac:dyDescent="0.35">
      <c r="B7" s="46" t="s">
        <v>59</v>
      </c>
      <c r="C7" s="7">
        <f>SUMIFS(Tab_Base[[Valor]:[Valor]],Tab_Base[[Categoria]:[Categoria]],$B7,Tab_Base[[Mês]:[Mês]],C$3,Tab_Base[[Ano]:[Ano]],$B$3,Tab_Base[[Tipo]:[Tipo]],"Saída")</f>
        <v>0</v>
      </c>
      <c r="D7" s="7">
        <f>SUMIFS(Tab_Base[[Valor]:[Valor]],Tab_Base[[Categoria]:[Categoria]],$B7,Tab_Base[[Mês]:[Mês]],D$3,Tab_Base[[Ano]:[Ano]],$B$3,Tab_Base[[Tipo]:[Tipo]],"Saída")</f>
        <v>0</v>
      </c>
      <c r="E7" s="7">
        <f>SUMIFS(Tab_Base[[Valor]:[Valor]],Tab_Base[[Categoria]:[Categoria]],$B7,Tab_Base[[Mês]:[Mês]],E$3,Tab_Base[[Ano]:[Ano]],$B$3,Tab_Base[[Tipo]:[Tipo]],"Saída")</f>
        <v>0</v>
      </c>
      <c r="F7" s="7">
        <f>SUMIFS(Tab_Base[[Valor]:[Valor]],Tab_Base[[Categoria]:[Categoria]],$B7,Tab_Base[[Mês]:[Mês]],F$3,Tab_Base[[Ano]:[Ano]],$B$3,Tab_Base[[Tipo]:[Tipo]],"Saída")</f>
        <v>0</v>
      </c>
      <c r="G7" s="7">
        <f>SUMIFS(Tab_Base[[Valor]:[Valor]],Tab_Base[[Categoria]:[Categoria]],$B7,Tab_Base[[Mês]:[Mês]],G$3,Tab_Base[[Ano]:[Ano]],$B$3,Tab_Base[[Tipo]:[Tipo]],"Saída")</f>
        <v>0</v>
      </c>
      <c r="H7" s="7">
        <f>SUMIFS(Tab_Base[[Valor]:[Valor]],Tab_Base[[Categoria]:[Categoria]],$B7,Tab_Base[[Mês]:[Mês]],H$3,Tab_Base[[Ano]:[Ano]],$B$3,Tab_Base[[Tipo]:[Tipo]],"Saída")</f>
        <v>0</v>
      </c>
      <c r="I7" s="7">
        <f>SUMIFS(Tab_Base[[Valor]:[Valor]],Tab_Base[[Categoria]:[Categoria]],$B7,Tab_Base[[Mês]:[Mês]],I$3,Tab_Base[[Ano]:[Ano]],$B$3,Tab_Base[[Tipo]:[Tipo]],"Saída")</f>
        <v>0</v>
      </c>
      <c r="J7" s="7">
        <f>SUMIFS(Tab_Base[[Valor]:[Valor]],Tab_Base[[Categoria]:[Categoria]],$B7,Tab_Base[[Mês]:[Mês]],J$3,Tab_Base[[Ano]:[Ano]],$B$3,Tab_Base[[Tipo]:[Tipo]],"Saída")</f>
        <v>0</v>
      </c>
      <c r="K7" s="7">
        <f>SUMIFS(Tab_Base[[Valor]:[Valor]],Tab_Base[[Categoria]:[Categoria]],$B7,Tab_Base[[Mês]:[Mês]],K$3,Tab_Base[[Ano]:[Ano]],$B$3,Tab_Base[[Tipo]:[Tipo]],"Saída")</f>
        <v>0</v>
      </c>
      <c r="L7" s="7">
        <f>SUMIFS(Tab_Base[[Valor]:[Valor]],Tab_Base[[Categoria]:[Categoria]],$B7,Tab_Base[[Mês]:[Mês]],L$3,Tab_Base[[Ano]:[Ano]],$B$3,Tab_Base[[Tipo]:[Tipo]],"Saída")</f>
        <v>99.9</v>
      </c>
      <c r="M7" s="7">
        <f>SUMIFS(Tab_Base[[Valor]:[Valor]],Tab_Base[[Categoria]:[Categoria]],$B7,Tab_Base[[Mês]:[Mês]],M$3,Tab_Base[[Ano]:[Ano]],$B$3,Tab_Base[[Tipo]:[Tipo]],"Saída")</f>
        <v>99.9</v>
      </c>
      <c r="N7" s="7">
        <f>SUMIFS(Tab_Base[[Valor]:[Valor]],Tab_Base[[Categoria]:[Categoria]],$B7,Tab_Base[[Mês]:[Mês]],N$3,Tab_Base[[Ano]:[Ano]],$B$3,Tab_Base[[Tipo]:[Tipo]],"Saída")</f>
        <v>0</v>
      </c>
      <c r="O7" s="7">
        <f>SUM(tb_saidas[[#This Row],[Janeiro]:[Dezembro]])</f>
        <v>199.8</v>
      </c>
      <c r="P7" s="7">
        <f>SUMIFS(Tab_Base[Valor],Tab_Base[Categoria],tb_saidas[[#This Row],[Saídas]],Tab_Base[Data],"&gt;="&amp;$P$2,Tab_Base[Data],"&lt;="&amp;$P$3,Tab_Base[Tipo],"Saída")</f>
        <v>199.8</v>
      </c>
      <c r="R7" s="34"/>
      <c r="S7" s="23">
        <f>SUMIFS(Tab_Base[[Valor]:[Valor]],Tab_Base[[Categoria]:[Categoria]],$R7,Tab_Base[[Mês]:[Mês]],S$3,Tab_Base[[Ano]:[Ano]],$R$3,Tab_Base[[Tipo]:[Tipo]],"Entrada")</f>
        <v>0</v>
      </c>
      <c r="T7" s="23">
        <f>SUMIFS(Tab_Base[[Valor]:[Valor]],Tab_Base[[Categoria]:[Categoria]],$R7,Tab_Base[[Mês]:[Mês]],T$3,Tab_Base[[Ano]:[Ano]],$R$3,Tab_Base[[Tipo]:[Tipo]],"Entrada")</f>
        <v>0</v>
      </c>
      <c r="U7" s="23">
        <f>SUMIFS(Tab_Base[[Valor]:[Valor]],Tab_Base[[Categoria]:[Categoria]],$R7,Tab_Base[[Mês]:[Mês]],U$3,Tab_Base[[Ano]:[Ano]],$R$3,Tab_Base[[Tipo]:[Tipo]],"Entrada")</f>
        <v>0</v>
      </c>
      <c r="V7" s="23">
        <f>SUMIFS(Tab_Base[[Valor]:[Valor]],Tab_Base[[Categoria]:[Categoria]],$R7,Tab_Base[[Mês]:[Mês]],V$3,Tab_Base[[Ano]:[Ano]],$R$3,Tab_Base[[Tipo]:[Tipo]],"Entrada")</f>
        <v>0</v>
      </c>
      <c r="W7" s="23">
        <f>SUMIFS(Tab_Base[[Valor]:[Valor]],Tab_Base[[Categoria]:[Categoria]],$R7,Tab_Base[[Mês]:[Mês]],W$3,Tab_Base[[Ano]:[Ano]],$R$3,Tab_Base[[Tipo]:[Tipo]],"Entrada")</f>
        <v>0</v>
      </c>
      <c r="X7" s="23">
        <f>SUMIFS(Tab_Base[[Valor]:[Valor]],Tab_Base[[Categoria]:[Categoria]],$R7,Tab_Base[[Mês]:[Mês]],X$3,Tab_Base[[Ano]:[Ano]],$R$3,Tab_Base[[Tipo]:[Tipo]],"Entrada")</f>
        <v>0</v>
      </c>
      <c r="Y7" s="23">
        <f>SUMIFS(Tab_Base[[Valor]:[Valor]],Tab_Base[[Categoria]:[Categoria]],$R7,Tab_Base[[Mês]:[Mês]],Y$3,Tab_Base[[Ano]:[Ano]],$R$3,Tab_Base[[Tipo]:[Tipo]],"Entrada")</f>
        <v>0</v>
      </c>
      <c r="Z7" s="23">
        <f>SUMIFS(Tab_Base[[Valor]:[Valor]],Tab_Base[[Categoria]:[Categoria]],$R7,Tab_Base[[Mês]:[Mês]],Z$3,Tab_Base[[Ano]:[Ano]],$R$3,Tab_Base[[Tipo]:[Tipo]],"Entrada")</f>
        <v>0</v>
      </c>
      <c r="AA7" s="23">
        <f>SUMIFS(Tab_Base[[Valor]:[Valor]],Tab_Base[[Categoria]:[Categoria]],$R7,Tab_Base[[Mês]:[Mês]],AA$3,Tab_Base[[Ano]:[Ano]],$R$3,Tab_Base[[Tipo]:[Tipo]],"Entrada")</f>
        <v>0</v>
      </c>
      <c r="AB7" s="23">
        <f>SUMIFS(Tab_Base[[Valor]:[Valor]],Tab_Base[[Categoria]:[Categoria]],$R7,Tab_Base[[Mês]:[Mês]],AB$3,Tab_Base[[Ano]:[Ano]],$R$3,Tab_Base[[Tipo]:[Tipo]],"Entrada")</f>
        <v>0</v>
      </c>
      <c r="AC7" s="23">
        <f>SUMIFS(Tab_Base[[Valor]:[Valor]],Tab_Base[[Categoria]:[Categoria]],$R7,Tab_Base[[Mês]:[Mês]],AC$3,Tab_Base[[Ano]:[Ano]],$R$3,Tab_Base[[Tipo]:[Tipo]],"Entrada")</f>
        <v>0</v>
      </c>
      <c r="AD7" s="23">
        <f>SUMIFS(Tab_Base[[Valor]:[Valor]],Tab_Base[[Categoria]:[Categoria]],$R7,Tab_Base[[Mês]:[Mês]],AD$3,Tab_Base[[Ano]:[Ano]],$R$3,Tab_Base[[Tipo]:[Tipo]],"Entrada")</f>
        <v>0</v>
      </c>
      <c r="AE7" s="23">
        <f>SUM(tb_entradas[[#This Row],[Janeiro]:[Dezembro]])</f>
        <v>0</v>
      </c>
      <c r="AF7" s="23">
        <f>SUMIFS(Tab_Base[Valor],Tab_Base[Categoria],tb_entradas[[#This Row],[Entradas]],Tab_Base[Data],"&gt;="&amp;$AF$2,Tab_Base[Data],"&lt;="&amp;$AF$3,Tab_Base[Tipo],"Entrada")</f>
        <v>0</v>
      </c>
    </row>
    <row r="8" spans="1:37" ht="17.25" thickBot="1" x14ac:dyDescent="0.35">
      <c r="B8" s="46" t="s">
        <v>72</v>
      </c>
      <c r="C8" s="7">
        <f>SUMIFS(Tab_Base[[Valor]:[Valor]],Tab_Base[[Categoria]:[Categoria]],$B5,Tab_Base[[Mês]:[Mês]],C$3,Tab_Base[[Ano]:[Ano]],$B$3,Tab_Base[[Tipo]:[Tipo]],"Saída")</f>
        <v>0</v>
      </c>
      <c r="D8" s="7">
        <f>SUMIFS(Tab_Base[[Valor]:[Valor]],Tab_Base[[Categoria]:[Categoria]],$B5,Tab_Base[[Mês]:[Mês]],D$3,Tab_Base[[Ano]:[Ano]],$B$3,Tab_Base[[Tipo]:[Tipo]],"Saída")</f>
        <v>0</v>
      </c>
      <c r="E8" s="7">
        <f>SUMIFS(Tab_Base[[Valor]:[Valor]],Tab_Base[[Categoria]:[Categoria]],$B5,Tab_Base[[Mês]:[Mês]],E$3,Tab_Base[[Ano]:[Ano]],$B$3,Tab_Base[[Tipo]:[Tipo]],"Saída")</f>
        <v>0</v>
      </c>
      <c r="F8" s="7">
        <f>SUMIFS(Tab_Base[[Valor]:[Valor]],Tab_Base[[Categoria]:[Categoria]],$B5,Tab_Base[[Mês]:[Mês]],F$3,Tab_Base[[Ano]:[Ano]],$B$3,Tab_Base[[Tipo]:[Tipo]],"Saída")</f>
        <v>0</v>
      </c>
      <c r="G8" s="7">
        <f>SUMIFS(Tab_Base[[Valor]:[Valor]],Tab_Base[[Categoria]:[Categoria]],$B5,Tab_Base[[Mês]:[Mês]],G$3,Tab_Base[[Ano]:[Ano]],$B$3,Tab_Base[[Tipo]:[Tipo]],"Saída")</f>
        <v>0</v>
      </c>
      <c r="H8" s="7">
        <f>SUMIFS(Tab_Base[[Valor]:[Valor]],Tab_Base[[Categoria]:[Categoria]],$B5,Tab_Base[[Mês]:[Mês]],H$3,Tab_Base[[Ano]:[Ano]],$B$3,Tab_Base[[Tipo]:[Tipo]],"Saída")</f>
        <v>0</v>
      </c>
      <c r="I8" s="7">
        <f>SUMIFS(Tab_Base[[Valor]:[Valor]],Tab_Base[[Categoria]:[Categoria]],$B5,Tab_Base[[Mês]:[Mês]],I$3,Tab_Base[[Ano]:[Ano]],$B$3,Tab_Base[[Tipo]:[Tipo]],"Saída")</f>
        <v>0</v>
      </c>
      <c r="J8" s="7">
        <f>SUMIFS(Tab_Base[[Valor]:[Valor]],Tab_Base[[Categoria]:[Categoria]],$B5,Tab_Base[[Mês]:[Mês]],J$3,Tab_Base[[Ano]:[Ano]],$B$3,Tab_Base[[Tipo]:[Tipo]],"Saída")</f>
        <v>0</v>
      </c>
      <c r="K8" s="7">
        <f>SUMIFS(Tab_Base[[Valor]:[Valor]],Tab_Base[[Categoria]:[Categoria]],$B5,Tab_Base[[Mês]:[Mês]],K$3,Tab_Base[[Ano]:[Ano]],$B$3,Tab_Base[[Tipo]:[Tipo]],"Saída")</f>
        <v>0</v>
      </c>
      <c r="L8" s="7">
        <f>SUMIFS(Tab_Base[[Valor]:[Valor]],Tab_Base[[Categoria]:[Categoria]],$B5,Tab_Base[[Mês]:[Mês]],L$3,Tab_Base[[Ano]:[Ano]],$B$3,Tab_Base[[Tipo]:[Tipo]],"Saída")</f>
        <v>50</v>
      </c>
      <c r="M8" s="7">
        <f>SUMIFS(Tab_Base[[Valor]:[Valor]],Tab_Base[[Categoria]:[Categoria]],$B5,Tab_Base[[Mês]:[Mês]],M$3,Tab_Base[[Ano]:[Ano]],$B$3,Tab_Base[[Tipo]:[Tipo]],"Saída")</f>
        <v>0</v>
      </c>
      <c r="N8" s="7">
        <f>SUMIFS(Tab_Base[[Valor]:[Valor]],Tab_Base[[Categoria]:[Categoria]],$B5,Tab_Base[[Mês]:[Mês]],N$3,Tab_Base[[Ano]:[Ano]],$B$3,Tab_Base[[Tipo]:[Tipo]],"Saída")</f>
        <v>0</v>
      </c>
      <c r="O8" s="7">
        <f>SUM(tb_saidas[[#This Row],[Janeiro]:[Dezembro]])</f>
        <v>50</v>
      </c>
      <c r="P8" s="7">
        <f>SUMIFS(Tab_Base[Valor],Tab_Base[Categoria],tb_saidas[[#This Row],[Saídas]],Tab_Base[Data],"&gt;="&amp;$P$2,Tab_Base[Data],"&lt;="&amp;$P$3,Tab_Base[Tipo],"Saída")</f>
        <v>330</v>
      </c>
    </row>
    <row r="9" spans="1:37" ht="17.25" thickBot="1" x14ac:dyDescent="0.35">
      <c r="B9" s="46" t="s">
        <v>70</v>
      </c>
      <c r="C9" s="7">
        <f>SUMIFS(Tab_Base[[Valor]:[Valor]],Tab_Base[[Categoria]:[Categoria]],$B6,Tab_Base[[Mês]:[Mês]],C$3,Tab_Base[[Ano]:[Ano]],$B$3,Tab_Base[[Tipo]:[Tipo]],"Saída")</f>
        <v>0</v>
      </c>
      <c r="D9" s="7">
        <f>SUMIFS(Tab_Base[[Valor]:[Valor]],Tab_Base[[Categoria]:[Categoria]],$B6,Tab_Base[[Mês]:[Mês]],D$3,Tab_Base[[Ano]:[Ano]],$B$3,Tab_Base[[Tipo]:[Tipo]],"Saída")</f>
        <v>0</v>
      </c>
      <c r="E9" s="7">
        <f>SUMIFS(Tab_Base[[Valor]:[Valor]],Tab_Base[[Categoria]:[Categoria]],$B6,Tab_Base[[Mês]:[Mês]],E$3,Tab_Base[[Ano]:[Ano]],$B$3,Tab_Base[[Tipo]:[Tipo]],"Saída")</f>
        <v>0</v>
      </c>
      <c r="F9" s="7">
        <f>SUMIFS(Tab_Base[[Valor]:[Valor]],Tab_Base[[Categoria]:[Categoria]],$B6,Tab_Base[[Mês]:[Mês]],F$3,Tab_Base[[Ano]:[Ano]],$B$3,Tab_Base[[Tipo]:[Tipo]],"Saída")</f>
        <v>0</v>
      </c>
      <c r="G9" s="7">
        <f>SUMIFS(Tab_Base[[Valor]:[Valor]],Tab_Base[[Categoria]:[Categoria]],$B6,Tab_Base[[Mês]:[Mês]],G$3,Tab_Base[[Ano]:[Ano]],$B$3,Tab_Base[[Tipo]:[Tipo]],"Saída")</f>
        <v>0</v>
      </c>
      <c r="H9" s="7">
        <f>SUMIFS(Tab_Base[[Valor]:[Valor]],Tab_Base[[Categoria]:[Categoria]],$B6,Tab_Base[[Mês]:[Mês]],H$3,Tab_Base[[Ano]:[Ano]],$B$3,Tab_Base[[Tipo]:[Tipo]],"Saída")</f>
        <v>0</v>
      </c>
      <c r="I9" s="7">
        <f>SUMIFS(Tab_Base[[Valor]:[Valor]],Tab_Base[[Categoria]:[Categoria]],$B6,Tab_Base[[Mês]:[Mês]],I$3,Tab_Base[[Ano]:[Ano]],$B$3,Tab_Base[[Tipo]:[Tipo]],"Saída")</f>
        <v>0</v>
      </c>
      <c r="J9" s="7">
        <f>SUMIFS(Tab_Base[[Valor]:[Valor]],Tab_Base[[Categoria]:[Categoria]],$B6,Tab_Base[[Mês]:[Mês]],J$3,Tab_Base[[Ano]:[Ano]],$B$3,Tab_Base[[Tipo]:[Tipo]],"Saída")</f>
        <v>0</v>
      </c>
      <c r="K9" s="7">
        <f>SUMIFS(Tab_Base[[Valor]:[Valor]],Tab_Base[[Categoria]:[Categoria]],$B6,Tab_Base[[Mês]:[Mês]],K$3,Tab_Base[[Ano]:[Ano]],$B$3,Tab_Base[[Tipo]:[Tipo]],"Saída")</f>
        <v>0</v>
      </c>
      <c r="L9" s="7">
        <f>SUMIFS(Tab_Base[[Valor]:[Valor]],Tab_Base[[Categoria]:[Categoria]],$B6,Tab_Base[[Mês]:[Mês]],L$3,Tab_Base[[Ano]:[Ano]],$B$3,Tab_Base[[Tipo]:[Tipo]],"Saída")</f>
        <v>1157.72</v>
      </c>
      <c r="M9" s="7">
        <f>SUMIFS(Tab_Base[[Valor]:[Valor]],Tab_Base[[Categoria]:[Categoria]],$B6,Tab_Base[[Mês]:[Mês]],M$3,Tab_Base[[Ano]:[Ano]],$B$3,Tab_Base[[Tipo]:[Tipo]],"Saída")</f>
        <v>1975.23</v>
      </c>
      <c r="N9" s="7">
        <f>SUMIFS(Tab_Base[[Valor]:[Valor]],Tab_Base[[Categoria]:[Categoria]],$B6,Tab_Base[[Mês]:[Mês]],N$3,Tab_Base[[Ano]:[Ano]],$B$3,Tab_Base[[Tipo]:[Tipo]],"Saída")</f>
        <v>0</v>
      </c>
      <c r="O9" s="7">
        <f>SUM(tb_saidas[[#This Row],[Janeiro]:[Dezembro]])</f>
        <v>3132.95</v>
      </c>
      <c r="P9" s="7">
        <f>SUMIFS(Tab_Base[Valor],Tab_Base[Categoria],tb_saidas[[#This Row],[Saídas]],Tab_Base[Data],"&gt;="&amp;$P$2,Tab_Base[Data],"&lt;="&amp;$P$3,Tab_Base[Tipo],"Saída")</f>
        <v>320</v>
      </c>
    </row>
    <row r="10" spans="1:37" ht="17.25" thickBot="1" x14ac:dyDescent="0.35">
      <c r="B10" s="46" t="s">
        <v>57</v>
      </c>
      <c r="C10" s="7">
        <f>SUMIFS(Tab_Base[[Valor]:[Valor]],Tab_Base[[Categoria]:[Categoria]],#REF!,Tab_Base[[Mês]:[Mês]],C$3,Tab_Base[[Ano]:[Ano]],$B$3,Tab_Base[[Tipo]:[Tipo]],"Saída")</f>
        <v>0</v>
      </c>
      <c r="D10" s="7">
        <f>SUMIFS(Tab_Base[[Valor]:[Valor]],Tab_Base[[Categoria]:[Categoria]],#REF!,Tab_Base[[Mês]:[Mês]],D$3,Tab_Base[[Ano]:[Ano]],$B$3,Tab_Base[[Tipo]:[Tipo]],"Saída")</f>
        <v>0</v>
      </c>
      <c r="E10" s="7">
        <f>SUMIFS(Tab_Base[[Valor]:[Valor]],Tab_Base[[Categoria]:[Categoria]],#REF!,Tab_Base[[Mês]:[Mês]],E$3,Tab_Base[[Ano]:[Ano]],$B$3,Tab_Base[[Tipo]:[Tipo]],"Saída")</f>
        <v>0</v>
      </c>
      <c r="F10" s="7">
        <f>SUMIFS(Tab_Base[[Valor]:[Valor]],Tab_Base[[Categoria]:[Categoria]],#REF!,Tab_Base[[Mês]:[Mês]],F$3,Tab_Base[[Ano]:[Ano]],$B$3,Tab_Base[[Tipo]:[Tipo]],"Saída")</f>
        <v>0</v>
      </c>
      <c r="G10" s="7">
        <f>SUMIFS(Tab_Base[[Valor]:[Valor]],Tab_Base[[Categoria]:[Categoria]],#REF!,Tab_Base[[Mês]:[Mês]],G$3,Tab_Base[[Ano]:[Ano]],$B$3,Tab_Base[[Tipo]:[Tipo]],"Saída")</f>
        <v>0</v>
      </c>
      <c r="H10" s="7">
        <f>SUMIFS(Tab_Base[[Valor]:[Valor]],Tab_Base[[Categoria]:[Categoria]],#REF!,Tab_Base[[Mês]:[Mês]],H$3,Tab_Base[[Ano]:[Ano]],$B$3,Tab_Base[[Tipo]:[Tipo]],"Saída")</f>
        <v>0</v>
      </c>
      <c r="I10" s="7">
        <f>SUMIFS(Tab_Base[[Valor]:[Valor]],Tab_Base[[Categoria]:[Categoria]],#REF!,Tab_Base[[Mês]:[Mês]],I$3,Tab_Base[[Ano]:[Ano]],$B$3,Tab_Base[[Tipo]:[Tipo]],"Saída")</f>
        <v>0</v>
      </c>
      <c r="J10" s="7">
        <f>SUMIFS(Tab_Base[[Valor]:[Valor]],Tab_Base[[Categoria]:[Categoria]],#REF!,Tab_Base[[Mês]:[Mês]],J$3,Tab_Base[[Ano]:[Ano]],$B$3,Tab_Base[[Tipo]:[Tipo]],"Saída")</f>
        <v>0</v>
      </c>
      <c r="K10" s="7">
        <f>SUMIFS(Tab_Base[[Valor]:[Valor]],Tab_Base[[Categoria]:[Categoria]],#REF!,Tab_Base[[Mês]:[Mês]],K$3,Tab_Base[[Ano]:[Ano]],$B$3,Tab_Base[[Tipo]:[Tipo]],"Saída")</f>
        <v>0</v>
      </c>
      <c r="L10" s="7">
        <f>SUMIFS(Tab_Base[[Valor]:[Valor]],Tab_Base[[Categoria]:[Categoria]],#REF!,Tab_Base[[Mês]:[Mês]],L$3,Tab_Base[[Ano]:[Ano]],$B$3,Tab_Base[[Tipo]:[Tipo]],"Saída")</f>
        <v>0</v>
      </c>
      <c r="M10" s="7">
        <f>SUMIFS(Tab_Base[[Valor]:[Valor]],Tab_Base[[Categoria]:[Categoria]],#REF!,Tab_Base[[Mês]:[Mês]],M$3,Tab_Base[[Ano]:[Ano]],$B$3,Tab_Base[[Tipo]:[Tipo]],"Saída")</f>
        <v>0</v>
      </c>
      <c r="N10" s="7">
        <f>SUMIFS(Tab_Base[[Valor]:[Valor]],Tab_Base[[Categoria]:[Categoria]],#REF!,Tab_Base[[Mês]:[Mês]],N$3,Tab_Base[[Ano]:[Ano]],$B$3,Tab_Base[[Tipo]:[Tipo]],"Saída")</f>
        <v>0</v>
      </c>
      <c r="O10" s="7">
        <f>SUM(tb_saidas[[#This Row],[Janeiro]:[Dezembro]])</f>
        <v>0</v>
      </c>
      <c r="P10" s="7">
        <f>SUMIFS(Tab_Base[Valor],Tab_Base[Categoria],tb_saidas[[#This Row],[Saídas]],Tab_Base[Data],"&gt;="&amp;$P$2,Tab_Base[Data],"&lt;="&amp;$P$3,Tab_Base[Tipo],"Saída")</f>
        <v>201</v>
      </c>
    </row>
    <row r="11" spans="1:37" ht="17.25" thickBot="1" x14ac:dyDescent="0.35">
      <c r="B11" s="46" t="s">
        <v>67</v>
      </c>
      <c r="C11" s="7">
        <f>SUMIFS(Tab_Base[[Valor]:[Valor]],Tab_Base[[Categoria]:[Categoria]],$B8,Tab_Base[[Mês]:[Mês]],C$3,Tab_Base[[Ano]:[Ano]],$B$3,Tab_Base[[Tipo]:[Tipo]],"Saída")</f>
        <v>0</v>
      </c>
      <c r="D11" s="7">
        <f>SUMIFS(Tab_Base[[Valor]:[Valor]],Tab_Base[[Categoria]:[Categoria]],$B8,Tab_Base[[Mês]:[Mês]],D$3,Tab_Base[[Ano]:[Ano]],$B$3,Tab_Base[[Tipo]:[Tipo]],"Saída")</f>
        <v>0</v>
      </c>
      <c r="E11" s="7">
        <f>SUMIFS(Tab_Base[[Valor]:[Valor]],Tab_Base[[Categoria]:[Categoria]],$B8,Tab_Base[[Mês]:[Mês]],E$3,Tab_Base[[Ano]:[Ano]],$B$3,Tab_Base[[Tipo]:[Tipo]],"Saída")</f>
        <v>0</v>
      </c>
      <c r="F11" s="7">
        <f>SUMIFS(Tab_Base[[Valor]:[Valor]],Tab_Base[[Categoria]:[Categoria]],$B8,Tab_Base[[Mês]:[Mês]],F$3,Tab_Base[[Ano]:[Ano]],$B$3,Tab_Base[[Tipo]:[Tipo]],"Saída")</f>
        <v>0</v>
      </c>
      <c r="G11" s="7">
        <f>SUMIFS(Tab_Base[[Valor]:[Valor]],Tab_Base[[Categoria]:[Categoria]],$B8,Tab_Base[[Mês]:[Mês]],G$3,Tab_Base[[Ano]:[Ano]],$B$3,Tab_Base[[Tipo]:[Tipo]],"Saída")</f>
        <v>0</v>
      </c>
      <c r="H11" s="7">
        <f>SUMIFS(Tab_Base[[Valor]:[Valor]],Tab_Base[[Categoria]:[Categoria]],$B8,Tab_Base[[Mês]:[Mês]],H$3,Tab_Base[[Ano]:[Ano]],$B$3,Tab_Base[[Tipo]:[Tipo]],"Saída")</f>
        <v>0</v>
      </c>
      <c r="I11" s="7">
        <f>SUMIFS(Tab_Base[[Valor]:[Valor]],Tab_Base[[Categoria]:[Categoria]],$B8,Tab_Base[[Mês]:[Mês]],I$3,Tab_Base[[Ano]:[Ano]],$B$3,Tab_Base[[Tipo]:[Tipo]],"Saída")</f>
        <v>0</v>
      </c>
      <c r="J11" s="7">
        <f>SUMIFS(Tab_Base[[Valor]:[Valor]],Tab_Base[[Categoria]:[Categoria]],$B8,Tab_Base[[Mês]:[Mês]],J$3,Tab_Base[[Ano]:[Ano]],$B$3,Tab_Base[[Tipo]:[Tipo]],"Saída")</f>
        <v>0</v>
      </c>
      <c r="K11" s="7">
        <f>SUMIFS(Tab_Base[[Valor]:[Valor]],Tab_Base[[Categoria]:[Categoria]],$B8,Tab_Base[[Mês]:[Mês]],K$3,Tab_Base[[Ano]:[Ano]],$B$3,Tab_Base[[Tipo]:[Tipo]],"Saída")</f>
        <v>0</v>
      </c>
      <c r="L11" s="7">
        <f>SUMIFS(Tab_Base[[Valor]:[Valor]],Tab_Base[[Categoria]:[Categoria]],$B8,Tab_Base[[Mês]:[Mês]],L$3,Tab_Base[[Ano]:[Ano]],$B$3,Tab_Base[[Tipo]:[Tipo]],"Saída")</f>
        <v>330</v>
      </c>
      <c r="M11" s="7">
        <f>SUMIFS(Tab_Base[[Valor]:[Valor]],Tab_Base[[Categoria]:[Categoria]],$B8,Tab_Base[[Mês]:[Mês]],M$3,Tab_Base[[Ano]:[Ano]],$B$3,Tab_Base[[Tipo]:[Tipo]],"Saída")</f>
        <v>0</v>
      </c>
      <c r="N11" s="7">
        <f>SUMIFS(Tab_Base[[Valor]:[Valor]],Tab_Base[[Categoria]:[Categoria]],$B8,Tab_Base[[Mês]:[Mês]],N$3,Tab_Base[[Ano]:[Ano]],$B$3,Tab_Base[[Tipo]:[Tipo]],"Saída")</f>
        <v>0</v>
      </c>
      <c r="O11" s="7">
        <f>SUM(tb_saidas[[#This Row],[Janeiro]:[Dezembro]])</f>
        <v>330</v>
      </c>
      <c r="P11" s="7">
        <f>SUMIFS(Tab_Base[Valor],Tab_Base[Categoria],tb_saidas[[#This Row],[Saídas]],Tab_Base[Data],"&gt;="&amp;$P$2,Tab_Base[Data],"&lt;="&amp;$P$3,Tab_Base[Tipo],"Saída")</f>
        <v>388</v>
      </c>
    </row>
    <row r="12" spans="1:37" ht="17.25" thickBot="1" x14ac:dyDescent="0.35">
      <c r="B12" s="46" t="s">
        <v>64</v>
      </c>
      <c r="C12" s="7">
        <f>SUMIFS(Tab_Base[[Valor]:[Valor]],Tab_Base[[Categoria]:[Categoria]],$B9,Tab_Base[[Mês]:[Mês]],C$3,Tab_Base[[Ano]:[Ano]],$B$3,Tab_Base[[Tipo]:[Tipo]],"Saída")</f>
        <v>0</v>
      </c>
      <c r="D12" s="7">
        <f>SUMIFS(Tab_Base[[Valor]:[Valor]],Tab_Base[[Categoria]:[Categoria]],$B9,Tab_Base[[Mês]:[Mês]],D$3,Tab_Base[[Ano]:[Ano]],$B$3,Tab_Base[[Tipo]:[Tipo]],"Saída")</f>
        <v>0</v>
      </c>
      <c r="E12" s="7">
        <f>SUMIFS(Tab_Base[[Valor]:[Valor]],Tab_Base[[Categoria]:[Categoria]],$B9,Tab_Base[[Mês]:[Mês]],E$3,Tab_Base[[Ano]:[Ano]],$B$3,Tab_Base[[Tipo]:[Tipo]],"Saída")</f>
        <v>0</v>
      </c>
      <c r="F12" s="7">
        <f>SUMIFS(Tab_Base[[Valor]:[Valor]],Tab_Base[[Categoria]:[Categoria]],$B9,Tab_Base[[Mês]:[Mês]],F$3,Tab_Base[[Ano]:[Ano]],$B$3,Tab_Base[[Tipo]:[Tipo]],"Saída")</f>
        <v>0</v>
      </c>
      <c r="G12" s="7">
        <f>SUMIFS(Tab_Base[[Valor]:[Valor]],Tab_Base[[Categoria]:[Categoria]],$B9,Tab_Base[[Mês]:[Mês]],G$3,Tab_Base[[Ano]:[Ano]],$B$3,Tab_Base[[Tipo]:[Tipo]],"Saída")</f>
        <v>0</v>
      </c>
      <c r="H12" s="7">
        <f>SUMIFS(Tab_Base[[Valor]:[Valor]],Tab_Base[[Categoria]:[Categoria]],$B9,Tab_Base[[Mês]:[Mês]],H$3,Tab_Base[[Ano]:[Ano]],$B$3,Tab_Base[[Tipo]:[Tipo]],"Saída")</f>
        <v>0</v>
      </c>
      <c r="I12" s="7">
        <f>SUMIFS(Tab_Base[[Valor]:[Valor]],Tab_Base[[Categoria]:[Categoria]],$B9,Tab_Base[[Mês]:[Mês]],I$3,Tab_Base[[Ano]:[Ano]],$B$3,Tab_Base[[Tipo]:[Tipo]],"Saída")</f>
        <v>0</v>
      </c>
      <c r="J12" s="7">
        <f>SUMIFS(Tab_Base[[Valor]:[Valor]],Tab_Base[[Categoria]:[Categoria]],$B9,Tab_Base[[Mês]:[Mês]],J$3,Tab_Base[[Ano]:[Ano]],$B$3,Tab_Base[[Tipo]:[Tipo]],"Saída")</f>
        <v>0</v>
      </c>
      <c r="K12" s="7">
        <f>SUMIFS(Tab_Base[[Valor]:[Valor]],Tab_Base[[Categoria]:[Categoria]],$B9,Tab_Base[[Mês]:[Mês]],K$3,Tab_Base[[Ano]:[Ano]],$B$3,Tab_Base[[Tipo]:[Tipo]],"Saída")</f>
        <v>0</v>
      </c>
      <c r="L12" s="7">
        <f>SUMIFS(Tab_Base[[Valor]:[Valor]],Tab_Base[[Categoria]:[Categoria]],$B9,Tab_Base[[Mês]:[Mês]],L$3,Tab_Base[[Ano]:[Ano]],$B$3,Tab_Base[[Tipo]:[Tipo]],"Saída")</f>
        <v>320</v>
      </c>
      <c r="M12" s="7">
        <f>SUMIFS(Tab_Base[[Valor]:[Valor]],Tab_Base[[Categoria]:[Categoria]],$B9,Tab_Base[[Mês]:[Mês]],M$3,Tab_Base[[Ano]:[Ano]],$B$3,Tab_Base[[Tipo]:[Tipo]],"Saída")</f>
        <v>0</v>
      </c>
      <c r="N12" s="7">
        <f>SUMIFS(Tab_Base[[Valor]:[Valor]],Tab_Base[[Categoria]:[Categoria]],$B9,Tab_Base[[Mês]:[Mês]],N$3,Tab_Base[[Ano]:[Ano]],$B$3,Tab_Base[[Tipo]:[Tipo]],"Saída")</f>
        <v>0</v>
      </c>
      <c r="O12" s="7">
        <f>SUM(tb_saidas[[#This Row],[Janeiro]:[Dezembro]])</f>
        <v>320</v>
      </c>
      <c r="P12" s="7">
        <f>SUMIFS(Tab_Base[Valor],Tab_Base[Categoria],tb_saidas[[#This Row],[Saídas]],Tab_Base[Data],"&gt;="&amp;$P$2,Tab_Base[Data],"&lt;="&amp;$P$3,Tab_Base[Tipo],"Saída")</f>
        <v>200</v>
      </c>
    </row>
    <row r="13" spans="1:37" ht="17.25" thickBot="1" x14ac:dyDescent="0.35">
      <c r="B13" s="46" t="s">
        <v>73</v>
      </c>
      <c r="C13" s="23">
        <f>SUMIFS(Tab_Base[[Valor]:[Valor]],Tab_Base[[Categoria]:[Categoria]],#REF!,Tab_Base[[Mês]:[Mês]],C$3,Tab_Base[[Ano]:[Ano]],$B$3,Tab_Base[[Tipo]:[Tipo]],"Saída")</f>
        <v>0</v>
      </c>
      <c r="D13" s="23">
        <f>SUMIFS(Tab_Base[[Valor]:[Valor]],Tab_Base[[Categoria]:[Categoria]],#REF!,Tab_Base[[Mês]:[Mês]],D$3,Tab_Base[[Ano]:[Ano]],$B$3,Tab_Base[[Tipo]:[Tipo]],"Saída")</f>
        <v>0</v>
      </c>
      <c r="E13" s="23">
        <f>SUMIFS(Tab_Base[[Valor]:[Valor]],Tab_Base[[Categoria]:[Categoria]],#REF!,Tab_Base[[Mês]:[Mês]],E$3,Tab_Base[[Ano]:[Ano]],$B$3,Tab_Base[[Tipo]:[Tipo]],"Saída")</f>
        <v>0</v>
      </c>
      <c r="F13" s="23">
        <f>SUMIFS(Tab_Base[[Valor]:[Valor]],Tab_Base[[Categoria]:[Categoria]],#REF!,Tab_Base[[Mês]:[Mês]],F$3,Tab_Base[[Ano]:[Ano]],$B$3,Tab_Base[[Tipo]:[Tipo]],"Saída")</f>
        <v>0</v>
      </c>
      <c r="G13" s="23">
        <f>SUMIFS(Tab_Base[[Valor]:[Valor]],Tab_Base[[Categoria]:[Categoria]],#REF!,Tab_Base[[Mês]:[Mês]],G$3,Tab_Base[[Ano]:[Ano]],$B$3,Tab_Base[[Tipo]:[Tipo]],"Saída")</f>
        <v>0</v>
      </c>
      <c r="H13" s="23">
        <f>SUMIFS(Tab_Base[[Valor]:[Valor]],Tab_Base[[Categoria]:[Categoria]],#REF!,Tab_Base[[Mês]:[Mês]],H$3,Tab_Base[[Ano]:[Ano]],$B$3,Tab_Base[[Tipo]:[Tipo]],"Saída")</f>
        <v>0</v>
      </c>
      <c r="I13" s="23">
        <f>SUMIFS(Tab_Base[[Valor]:[Valor]],Tab_Base[[Categoria]:[Categoria]],#REF!,Tab_Base[[Mês]:[Mês]],I$3,Tab_Base[[Ano]:[Ano]],$B$3,Tab_Base[[Tipo]:[Tipo]],"Saída")</f>
        <v>0</v>
      </c>
      <c r="J13" s="23">
        <f>SUMIFS(Tab_Base[[Valor]:[Valor]],Tab_Base[[Categoria]:[Categoria]],#REF!,Tab_Base[[Mês]:[Mês]],J$3,Tab_Base[[Ano]:[Ano]],$B$3,Tab_Base[[Tipo]:[Tipo]],"Saída")</f>
        <v>0</v>
      </c>
      <c r="K13" s="23">
        <f>SUMIFS(Tab_Base[[Valor]:[Valor]],Tab_Base[[Categoria]:[Categoria]],#REF!,Tab_Base[[Mês]:[Mês]],K$3,Tab_Base[[Ano]:[Ano]],$B$3,Tab_Base[[Tipo]:[Tipo]],"Saída")</f>
        <v>0</v>
      </c>
      <c r="L13" s="23">
        <f>SUMIFS(Tab_Base[[Valor]:[Valor]],Tab_Base[[Categoria]:[Categoria]],#REF!,Tab_Base[[Mês]:[Mês]],L$3,Tab_Base[[Ano]:[Ano]],$B$3,Tab_Base[[Tipo]:[Tipo]],"Saída")</f>
        <v>0</v>
      </c>
      <c r="M13" s="23">
        <f>SUMIFS(Tab_Base[[Valor]:[Valor]],Tab_Base[[Categoria]:[Categoria]],#REF!,Tab_Base[[Mês]:[Mês]],M$3,Tab_Base[[Ano]:[Ano]],$B$3,Tab_Base[[Tipo]:[Tipo]],"Saída")</f>
        <v>0</v>
      </c>
      <c r="N13" s="23">
        <f>SUMIFS(Tab_Base[[Valor]:[Valor]],Tab_Base[[Categoria]:[Categoria]],#REF!,Tab_Base[[Mês]:[Mês]],N$3,Tab_Base[[Ano]:[Ano]],$B$3,Tab_Base[[Tipo]:[Tipo]],"Saída")</f>
        <v>0</v>
      </c>
      <c r="O13" s="23">
        <f>SUM(tb_saidas[[#This Row],[Janeiro]:[Dezembro]])</f>
        <v>0</v>
      </c>
      <c r="P13" s="23">
        <f>SUMIFS(Tab_Base[Valor],Tab_Base[Categoria],tb_saidas[[#This Row],[Saídas]],Tab_Base[Data],"&gt;="&amp;$P$2,Tab_Base[Data],"&lt;="&amp;$P$3,Tab_Base[Tipo],"Saída")</f>
        <v>44.78</v>
      </c>
    </row>
    <row r="14" spans="1:37" ht="17.25" thickBot="1" x14ac:dyDescent="0.35">
      <c r="B14" s="46" t="s">
        <v>74</v>
      </c>
      <c r="C14" s="7">
        <f>SUMIFS(Tab_Base[[Valor]:[Valor]],Tab_Base[[Categoria]:[Categoria]],$B11,Tab_Base[[Mês]:[Mês]],C$3,Tab_Base[[Ano]:[Ano]],$B$3,Tab_Base[[Tipo]:[Tipo]],"Saída")</f>
        <v>0</v>
      </c>
      <c r="D14" s="7">
        <f>SUMIFS(Tab_Base[[Valor]:[Valor]],Tab_Base[[Categoria]:[Categoria]],$B11,Tab_Base[[Mês]:[Mês]],D$3,Tab_Base[[Ano]:[Ano]],$B$3,Tab_Base[[Tipo]:[Tipo]],"Saída")</f>
        <v>0</v>
      </c>
      <c r="E14" s="7">
        <f>SUMIFS(Tab_Base[[Valor]:[Valor]],Tab_Base[[Categoria]:[Categoria]],$B11,Tab_Base[[Mês]:[Mês]],E$3,Tab_Base[[Ano]:[Ano]],$B$3,Tab_Base[[Tipo]:[Tipo]],"Saída")</f>
        <v>0</v>
      </c>
      <c r="F14" s="7">
        <f>SUMIFS(Tab_Base[[Valor]:[Valor]],Tab_Base[[Categoria]:[Categoria]],$B11,Tab_Base[[Mês]:[Mês]],F$3,Tab_Base[[Ano]:[Ano]],$B$3,Tab_Base[[Tipo]:[Tipo]],"Saída")</f>
        <v>0</v>
      </c>
      <c r="G14" s="7">
        <f>SUMIFS(Tab_Base[[Valor]:[Valor]],Tab_Base[[Categoria]:[Categoria]],$B11,Tab_Base[[Mês]:[Mês]],G$3,Tab_Base[[Ano]:[Ano]],$B$3,Tab_Base[[Tipo]:[Tipo]],"Saída")</f>
        <v>0</v>
      </c>
      <c r="H14" s="7">
        <f>SUMIFS(Tab_Base[[Valor]:[Valor]],Tab_Base[[Categoria]:[Categoria]],$B11,Tab_Base[[Mês]:[Mês]],H$3,Tab_Base[[Ano]:[Ano]],$B$3,Tab_Base[[Tipo]:[Tipo]],"Saída")</f>
        <v>0</v>
      </c>
      <c r="I14" s="7">
        <f>SUMIFS(Tab_Base[[Valor]:[Valor]],Tab_Base[[Categoria]:[Categoria]],$B11,Tab_Base[[Mês]:[Mês]],I$3,Tab_Base[[Ano]:[Ano]],$B$3,Tab_Base[[Tipo]:[Tipo]],"Saída")</f>
        <v>0</v>
      </c>
      <c r="J14" s="7">
        <f>SUMIFS(Tab_Base[[Valor]:[Valor]],Tab_Base[[Categoria]:[Categoria]],$B11,Tab_Base[[Mês]:[Mês]],J$3,Tab_Base[[Ano]:[Ano]],$B$3,Tab_Base[[Tipo]:[Tipo]],"Saída")</f>
        <v>0</v>
      </c>
      <c r="K14" s="7">
        <f>SUMIFS(Tab_Base[[Valor]:[Valor]],Tab_Base[[Categoria]:[Categoria]],$B11,Tab_Base[[Mês]:[Mês]],K$3,Tab_Base[[Ano]:[Ano]],$B$3,Tab_Base[[Tipo]:[Tipo]],"Saída")</f>
        <v>0</v>
      </c>
      <c r="L14" s="7">
        <f>SUMIFS(Tab_Base[[Valor]:[Valor]],Tab_Base[[Categoria]:[Categoria]],$B11,Tab_Base[[Mês]:[Mês]],L$3,Tab_Base[[Ano]:[Ano]],$B$3,Tab_Base[[Tipo]:[Tipo]],"Saída")</f>
        <v>388</v>
      </c>
      <c r="M14" s="7">
        <f>SUMIFS(Tab_Base[[Valor]:[Valor]],Tab_Base[[Categoria]:[Categoria]],$B11,Tab_Base[[Mês]:[Mês]],M$3,Tab_Base[[Ano]:[Ano]],$B$3,Tab_Base[[Tipo]:[Tipo]],"Saída")</f>
        <v>0</v>
      </c>
      <c r="N14" s="7">
        <f>SUMIFS(Tab_Base[[Valor]:[Valor]],Tab_Base[[Categoria]:[Categoria]],$B11,Tab_Base[[Mês]:[Mês]],N$3,Tab_Base[[Ano]:[Ano]],$B$3,Tab_Base[[Tipo]:[Tipo]],"Saída")</f>
        <v>0</v>
      </c>
      <c r="O14" s="7">
        <f>SUM(tb_saidas[[#This Row],[Janeiro]:[Dezembro]])</f>
        <v>388</v>
      </c>
      <c r="P14" s="7">
        <f>SUMIFS(Tab_Base[Valor],Tab_Base[Categoria],tb_saidas[[#This Row],[Saídas]],Tab_Base[Data],"&gt;="&amp;$P$2,Tab_Base[Data],"&lt;="&amp;$P$3,Tab_Base[Tipo],"Saída")</f>
        <v>9.15</v>
      </c>
    </row>
    <row r="15" spans="1:37" ht="17.25" thickBot="1" x14ac:dyDescent="0.35">
      <c r="B15" s="46" t="s">
        <v>77</v>
      </c>
      <c r="C15" s="7">
        <f>SUMIFS(Tab_Base[[Valor]:[Valor]],Tab_Base[[Categoria]:[Categoria]],$B12,Tab_Base[[Mês]:[Mês]],C$3,Tab_Base[[Ano]:[Ano]],$B$3,Tab_Base[[Tipo]:[Tipo]],"Saída")</f>
        <v>0</v>
      </c>
      <c r="D15" s="7">
        <f>SUMIFS(Tab_Base[[Valor]:[Valor]],Tab_Base[[Categoria]:[Categoria]],$B12,Tab_Base[[Mês]:[Mês]],D$3,Tab_Base[[Ano]:[Ano]],$B$3,Tab_Base[[Tipo]:[Tipo]],"Saída")</f>
        <v>0</v>
      </c>
      <c r="E15" s="7">
        <f>SUMIFS(Tab_Base[[Valor]:[Valor]],Tab_Base[[Categoria]:[Categoria]],$B12,Tab_Base[[Mês]:[Mês]],E$3,Tab_Base[[Ano]:[Ano]],$B$3,Tab_Base[[Tipo]:[Tipo]],"Saída")</f>
        <v>0</v>
      </c>
      <c r="F15" s="7">
        <f>SUMIFS(Tab_Base[[Valor]:[Valor]],Tab_Base[[Categoria]:[Categoria]],$B12,Tab_Base[[Mês]:[Mês]],F$3,Tab_Base[[Ano]:[Ano]],$B$3,Tab_Base[[Tipo]:[Tipo]],"Saída")</f>
        <v>0</v>
      </c>
      <c r="G15" s="7">
        <f>SUMIFS(Tab_Base[[Valor]:[Valor]],Tab_Base[[Categoria]:[Categoria]],$B12,Tab_Base[[Mês]:[Mês]],G$3,Tab_Base[[Ano]:[Ano]],$B$3,Tab_Base[[Tipo]:[Tipo]],"Saída")</f>
        <v>0</v>
      </c>
      <c r="H15" s="7">
        <f>SUMIFS(Tab_Base[[Valor]:[Valor]],Tab_Base[[Categoria]:[Categoria]],$B12,Tab_Base[[Mês]:[Mês]],H$3,Tab_Base[[Ano]:[Ano]],$B$3,Tab_Base[[Tipo]:[Tipo]],"Saída")</f>
        <v>0</v>
      </c>
      <c r="I15" s="7">
        <f>SUMIFS(Tab_Base[[Valor]:[Valor]],Tab_Base[[Categoria]:[Categoria]],$B12,Tab_Base[[Mês]:[Mês]],I$3,Tab_Base[[Ano]:[Ano]],$B$3,Tab_Base[[Tipo]:[Tipo]],"Saída")</f>
        <v>0</v>
      </c>
      <c r="J15" s="7">
        <f>SUMIFS(Tab_Base[[Valor]:[Valor]],Tab_Base[[Categoria]:[Categoria]],$B12,Tab_Base[[Mês]:[Mês]],J$3,Tab_Base[[Ano]:[Ano]],$B$3,Tab_Base[[Tipo]:[Tipo]],"Saída")</f>
        <v>0</v>
      </c>
      <c r="K15" s="7">
        <f>SUMIFS(Tab_Base[[Valor]:[Valor]],Tab_Base[[Categoria]:[Categoria]],$B12,Tab_Base[[Mês]:[Mês]],K$3,Tab_Base[[Ano]:[Ano]],$B$3,Tab_Base[[Tipo]:[Tipo]],"Saída")</f>
        <v>0</v>
      </c>
      <c r="L15" s="7">
        <f>SUMIFS(Tab_Base[[Valor]:[Valor]],Tab_Base[[Categoria]:[Categoria]],$B12,Tab_Base[[Mês]:[Mês]],L$3,Tab_Base[[Ano]:[Ano]],$B$3,Tab_Base[[Tipo]:[Tipo]],"Saída")</f>
        <v>200</v>
      </c>
      <c r="M15" s="7">
        <f>SUMIFS(Tab_Base[[Valor]:[Valor]],Tab_Base[[Categoria]:[Categoria]],$B12,Tab_Base[[Mês]:[Mês]],M$3,Tab_Base[[Ano]:[Ano]],$B$3,Tab_Base[[Tipo]:[Tipo]],"Saída")</f>
        <v>0</v>
      </c>
      <c r="N15" s="7">
        <f>SUMIFS(Tab_Base[[Valor]:[Valor]],Tab_Base[[Categoria]:[Categoria]],$B12,Tab_Base[[Mês]:[Mês]],N$3,Tab_Base[[Ano]:[Ano]],$B$3,Tab_Base[[Tipo]:[Tipo]],"Saída")</f>
        <v>0</v>
      </c>
      <c r="O15" s="7">
        <f>SUM(tb_saidas[[#This Row],[Janeiro]:[Dezembro]])</f>
        <v>200</v>
      </c>
      <c r="P15" s="7">
        <f>SUMIFS(Tab_Base[Valor],Tab_Base[Categoria],tb_saidas[[#This Row],[Saídas]],Tab_Base[Data],"&gt;="&amp;$P$2,Tab_Base[Data],"&lt;="&amp;$P$3,Tab_Base[Tipo],"Saída")</f>
        <v>50</v>
      </c>
    </row>
    <row r="16" spans="1:37" ht="17.25" thickBot="1" x14ac:dyDescent="0.35">
      <c r="B16" s="97" t="s">
        <v>79</v>
      </c>
      <c r="C16" s="7">
        <f>SUMIFS(Tab_Base[[Valor]:[Valor]],Tab_Base[[Categoria]:[Categoria]],$B16,Tab_Base[[Mês]:[Mês]],C$3,Tab_Base[[Ano]:[Ano]],$B$3,Tab_Base[[Tipo]:[Tipo]],"Saída")</f>
        <v>0</v>
      </c>
      <c r="D16" s="7">
        <f>SUMIFS(Tab_Base[[Valor]:[Valor]],Tab_Base[[Categoria]:[Categoria]],$B16,Tab_Base[[Mês]:[Mês]],D$3,Tab_Base[[Ano]:[Ano]],$B$3,Tab_Base[[Tipo]:[Tipo]],"Saída")</f>
        <v>0</v>
      </c>
      <c r="E16" s="7">
        <f>SUMIFS(Tab_Base[[Valor]:[Valor]],Tab_Base[[Categoria]:[Categoria]],$B16,Tab_Base[[Mês]:[Mês]],E$3,Tab_Base[[Ano]:[Ano]],$B$3,Tab_Base[[Tipo]:[Tipo]],"Saída")</f>
        <v>0</v>
      </c>
      <c r="F16" s="7">
        <f>SUMIFS(Tab_Base[[Valor]:[Valor]],Tab_Base[[Categoria]:[Categoria]],$B16,Tab_Base[[Mês]:[Mês]],F$3,Tab_Base[[Ano]:[Ano]],$B$3,Tab_Base[[Tipo]:[Tipo]],"Saída")</f>
        <v>0</v>
      </c>
      <c r="G16" s="7">
        <f>SUMIFS(Tab_Base[[Valor]:[Valor]],Tab_Base[[Categoria]:[Categoria]],$B16,Tab_Base[[Mês]:[Mês]],G$3,Tab_Base[[Ano]:[Ano]],$B$3,Tab_Base[[Tipo]:[Tipo]],"Saída")</f>
        <v>0</v>
      </c>
      <c r="H16" s="7">
        <f>SUMIFS(Tab_Base[[Valor]:[Valor]],Tab_Base[[Categoria]:[Categoria]],$B16,Tab_Base[[Mês]:[Mês]],H$3,Tab_Base[[Ano]:[Ano]],$B$3,Tab_Base[[Tipo]:[Tipo]],"Saída")</f>
        <v>0</v>
      </c>
      <c r="I16" s="7">
        <f>SUMIFS(Tab_Base[[Valor]:[Valor]],Tab_Base[[Categoria]:[Categoria]],$B16,Tab_Base[[Mês]:[Mês]],I$3,Tab_Base[[Ano]:[Ano]],$B$3,Tab_Base[[Tipo]:[Tipo]],"Saída")</f>
        <v>0</v>
      </c>
      <c r="J16" s="7">
        <f>SUMIFS(Tab_Base[[Valor]:[Valor]],Tab_Base[[Categoria]:[Categoria]],$B16,Tab_Base[[Mês]:[Mês]],J$3,Tab_Base[[Ano]:[Ano]],$B$3,Tab_Base[[Tipo]:[Tipo]],"Saída")</f>
        <v>0</v>
      </c>
      <c r="K16" s="7">
        <f>SUMIFS(Tab_Base[[Valor]:[Valor]],Tab_Base[[Categoria]:[Categoria]],$B16,Tab_Base[[Mês]:[Mês]],K$3,Tab_Base[[Ano]:[Ano]],$B$3,Tab_Base[[Tipo]:[Tipo]],"Saída")</f>
        <v>0</v>
      </c>
      <c r="L16" s="7">
        <f>SUMIFS(Tab_Base[[Valor]:[Valor]],Tab_Base[[Categoria]:[Categoria]],$B16,Tab_Base[[Mês]:[Mês]],L$3,Tab_Base[[Ano]:[Ano]],$B$3,Tab_Base[[Tipo]:[Tipo]],"Saída")</f>
        <v>0</v>
      </c>
      <c r="M16" s="7">
        <f>SUMIFS(Tab_Base[[Valor]:[Valor]],Tab_Base[[Categoria]:[Categoria]],$B16,Tab_Base[[Mês]:[Mês]],M$3,Tab_Base[[Ano]:[Ano]],$B$3,Tab_Base[[Tipo]:[Tipo]],"Saída")</f>
        <v>0</v>
      </c>
      <c r="N16" s="7">
        <f>SUMIFS(Tab_Base[[Valor]:[Valor]],Tab_Base[[Categoria]:[Categoria]],$B16,Tab_Base[[Mês]:[Mês]],N$3,Tab_Base[[Ano]:[Ano]],$B$3,Tab_Base[[Tipo]:[Tipo]],"Saída")</f>
        <v>0</v>
      </c>
      <c r="O16" s="7">
        <f>SUM(tb_saidas[[#This Row],[Janeiro]:[Dezembro]])</f>
        <v>0</v>
      </c>
      <c r="P16" s="7">
        <f>SUMIFS(Tab_Base[Valor],Tab_Base[Categoria],tb_saidas[[#This Row],[Saídas]],Tab_Base[Data],"&gt;="&amp;$P$2,Tab_Base[Data],"&lt;="&amp;$P$3,Tab_Base[Tipo],"Saída")</f>
        <v>0</v>
      </c>
    </row>
    <row r="17" spans="2:16" ht="17.25" thickBot="1" x14ac:dyDescent="0.35">
      <c r="B17" s="97"/>
      <c r="C17" s="7">
        <f>SUMIFS(Tab_Base[[Valor]:[Valor]],Tab_Base[[Categoria]:[Categoria]],$B17,Tab_Base[[Mês]:[Mês]],C$3,Tab_Base[[Ano]:[Ano]],$B$3,Tab_Base[[Tipo]:[Tipo]],"Saída")</f>
        <v>0</v>
      </c>
      <c r="D17" s="7">
        <f>SUMIFS(Tab_Base[[Valor]:[Valor]],Tab_Base[[Categoria]:[Categoria]],$B17,Tab_Base[[Mês]:[Mês]],D$3,Tab_Base[[Ano]:[Ano]],$B$3,Tab_Base[[Tipo]:[Tipo]],"Saída")</f>
        <v>0</v>
      </c>
      <c r="E17" s="7">
        <f>SUMIFS(Tab_Base[[Valor]:[Valor]],Tab_Base[[Categoria]:[Categoria]],$B17,Tab_Base[[Mês]:[Mês]],E$3,Tab_Base[[Ano]:[Ano]],$B$3,Tab_Base[[Tipo]:[Tipo]],"Saída")</f>
        <v>0</v>
      </c>
      <c r="F17" s="7">
        <f>SUMIFS(Tab_Base[[Valor]:[Valor]],Tab_Base[[Categoria]:[Categoria]],$B17,Tab_Base[[Mês]:[Mês]],F$3,Tab_Base[[Ano]:[Ano]],$B$3,Tab_Base[[Tipo]:[Tipo]],"Saída")</f>
        <v>0</v>
      </c>
      <c r="G17" s="7">
        <f>SUMIFS(Tab_Base[[Valor]:[Valor]],Tab_Base[[Categoria]:[Categoria]],$B17,Tab_Base[[Mês]:[Mês]],G$3,Tab_Base[[Ano]:[Ano]],$B$3,Tab_Base[[Tipo]:[Tipo]],"Saída")</f>
        <v>0</v>
      </c>
      <c r="H17" s="7">
        <f>SUMIFS(Tab_Base[[Valor]:[Valor]],Tab_Base[[Categoria]:[Categoria]],$B17,Tab_Base[[Mês]:[Mês]],H$3,Tab_Base[[Ano]:[Ano]],$B$3,Tab_Base[[Tipo]:[Tipo]],"Saída")</f>
        <v>0</v>
      </c>
      <c r="I17" s="7">
        <f>SUMIFS(Tab_Base[[Valor]:[Valor]],Tab_Base[[Categoria]:[Categoria]],$B17,Tab_Base[[Mês]:[Mês]],I$3,Tab_Base[[Ano]:[Ano]],$B$3,Tab_Base[[Tipo]:[Tipo]],"Saída")</f>
        <v>0</v>
      </c>
      <c r="J17" s="7">
        <f>SUMIFS(Tab_Base[[Valor]:[Valor]],Tab_Base[[Categoria]:[Categoria]],$B17,Tab_Base[[Mês]:[Mês]],J$3,Tab_Base[[Ano]:[Ano]],$B$3,Tab_Base[[Tipo]:[Tipo]],"Saída")</f>
        <v>0</v>
      </c>
      <c r="K17" s="7">
        <f>SUMIFS(Tab_Base[[Valor]:[Valor]],Tab_Base[[Categoria]:[Categoria]],$B17,Tab_Base[[Mês]:[Mês]],K$3,Tab_Base[[Ano]:[Ano]],$B$3,Tab_Base[[Tipo]:[Tipo]],"Saída")</f>
        <v>0</v>
      </c>
      <c r="L17" s="7">
        <f>SUMIFS(Tab_Base[[Valor]:[Valor]],Tab_Base[[Categoria]:[Categoria]],$B17,Tab_Base[[Mês]:[Mês]],L$3,Tab_Base[[Ano]:[Ano]],$B$3,Tab_Base[[Tipo]:[Tipo]],"Saída")</f>
        <v>0</v>
      </c>
      <c r="M17" s="7">
        <f>SUMIFS(Tab_Base[[Valor]:[Valor]],Tab_Base[[Categoria]:[Categoria]],$B17,Tab_Base[[Mês]:[Mês]],M$3,Tab_Base[[Ano]:[Ano]],$B$3,Tab_Base[[Tipo]:[Tipo]],"Saída")</f>
        <v>0</v>
      </c>
      <c r="N17" s="7">
        <f>SUMIFS(Tab_Base[[Valor]:[Valor]],Tab_Base[[Categoria]:[Categoria]],$B17,Tab_Base[[Mês]:[Mês]],N$3,Tab_Base[[Ano]:[Ano]],$B$3,Tab_Base[[Tipo]:[Tipo]],"Saída")</f>
        <v>0</v>
      </c>
      <c r="O17" s="7">
        <f>SUM(tb_saidas[[#This Row],[Janeiro]:[Dezembro]])</f>
        <v>0</v>
      </c>
      <c r="P17" s="7">
        <f>SUMIFS(Tab_Base[Valor],Tab_Base[Categoria],tb_saidas[[#This Row],[Saídas]],Tab_Base[Data],"&gt;="&amp;$P$2,Tab_Base[Data],"&lt;="&amp;$P$3,Tab_Base[Tipo],"Saída")</f>
        <v>0</v>
      </c>
    </row>
    <row r="18" spans="2:16" ht="17.25" thickBot="1" x14ac:dyDescent="0.35">
      <c r="B18" s="97"/>
      <c r="C18" s="7">
        <f>SUMIFS(Tab_Base[[Valor]:[Valor]],Tab_Base[[Categoria]:[Categoria]],$B18,Tab_Base[[Mês]:[Mês]],C$3,Tab_Base[[Ano]:[Ano]],$B$3,Tab_Base[[Tipo]:[Tipo]],"Saída")</f>
        <v>0</v>
      </c>
      <c r="D18" s="7">
        <f>SUMIFS(Tab_Base[[Valor]:[Valor]],Tab_Base[[Categoria]:[Categoria]],$B18,Tab_Base[[Mês]:[Mês]],D$3,Tab_Base[[Ano]:[Ano]],$B$3,Tab_Base[[Tipo]:[Tipo]],"Saída")</f>
        <v>0</v>
      </c>
      <c r="E18" s="7">
        <f>SUMIFS(Tab_Base[[Valor]:[Valor]],Tab_Base[[Categoria]:[Categoria]],$B18,Tab_Base[[Mês]:[Mês]],E$3,Tab_Base[[Ano]:[Ano]],$B$3,Tab_Base[[Tipo]:[Tipo]],"Saída")</f>
        <v>0</v>
      </c>
      <c r="F18" s="7">
        <f>SUMIFS(Tab_Base[[Valor]:[Valor]],Tab_Base[[Categoria]:[Categoria]],$B18,Tab_Base[[Mês]:[Mês]],F$3,Tab_Base[[Ano]:[Ano]],$B$3,Tab_Base[[Tipo]:[Tipo]],"Saída")</f>
        <v>0</v>
      </c>
      <c r="G18" s="7">
        <f>SUMIFS(Tab_Base[[Valor]:[Valor]],Tab_Base[[Categoria]:[Categoria]],$B18,Tab_Base[[Mês]:[Mês]],G$3,Tab_Base[[Ano]:[Ano]],$B$3,Tab_Base[[Tipo]:[Tipo]],"Saída")</f>
        <v>0</v>
      </c>
      <c r="H18" s="7">
        <f>SUMIFS(Tab_Base[[Valor]:[Valor]],Tab_Base[[Categoria]:[Categoria]],$B18,Tab_Base[[Mês]:[Mês]],H$3,Tab_Base[[Ano]:[Ano]],$B$3,Tab_Base[[Tipo]:[Tipo]],"Saída")</f>
        <v>0</v>
      </c>
      <c r="I18" s="7">
        <f>SUMIFS(Tab_Base[[Valor]:[Valor]],Tab_Base[[Categoria]:[Categoria]],$B18,Tab_Base[[Mês]:[Mês]],I$3,Tab_Base[[Ano]:[Ano]],$B$3,Tab_Base[[Tipo]:[Tipo]],"Saída")</f>
        <v>0</v>
      </c>
      <c r="J18" s="7">
        <f>SUMIFS(Tab_Base[[Valor]:[Valor]],Tab_Base[[Categoria]:[Categoria]],$B18,Tab_Base[[Mês]:[Mês]],J$3,Tab_Base[[Ano]:[Ano]],$B$3,Tab_Base[[Tipo]:[Tipo]],"Saída")</f>
        <v>0</v>
      </c>
      <c r="K18" s="7">
        <f>SUMIFS(Tab_Base[[Valor]:[Valor]],Tab_Base[[Categoria]:[Categoria]],$B18,Tab_Base[[Mês]:[Mês]],K$3,Tab_Base[[Ano]:[Ano]],$B$3,Tab_Base[[Tipo]:[Tipo]],"Saída")</f>
        <v>0</v>
      </c>
      <c r="L18" s="7">
        <f>SUMIFS(Tab_Base[[Valor]:[Valor]],Tab_Base[[Categoria]:[Categoria]],$B18,Tab_Base[[Mês]:[Mês]],L$3,Tab_Base[[Ano]:[Ano]],$B$3,Tab_Base[[Tipo]:[Tipo]],"Saída")</f>
        <v>0</v>
      </c>
      <c r="M18" s="7">
        <f>SUMIFS(Tab_Base[[Valor]:[Valor]],Tab_Base[[Categoria]:[Categoria]],$B18,Tab_Base[[Mês]:[Mês]],M$3,Tab_Base[[Ano]:[Ano]],$B$3,Tab_Base[[Tipo]:[Tipo]],"Saída")</f>
        <v>0</v>
      </c>
      <c r="N18" s="7">
        <f>SUMIFS(Tab_Base[[Valor]:[Valor]],Tab_Base[[Categoria]:[Categoria]],$B18,Tab_Base[[Mês]:[Mês]],N$3,Tab_Base[[Ano]:[Ano]],$B$3,Tab_Base[[Tipo]:[Tipo]],"Saída")</f>
        <v>0</v>
      </c>
      <c r="O18" s="7">
        <f>SUM(tb_saidas[[#This Row],[Janeiro]:[Dezembro]])</f>
        <v>0</v>
      </c>
      <c r="P18" s="7">
        <f>SUMIFS(Tab_Base[Valor],Tab_Base[Categoria],tb_saidas[[#This Row],[Saídas]],Tab_Base[Data],"&gt;="&amp;$P$2,Tab_Base[Data],"&lt;="&amp;$P$3,Tab_Base[Tipo],"Saída")</f>
        <v>0</v>
      </c>
    </row>
    <row r="19" spans="2:16" ht="17.25" thickBot="1" x14ac:dyDescent="0.35">
      <c r="B19" s="97"/>
      <c r="C19" s="7">
        <f>SUMIFS(Tab_Base[[Valor]:[Valor]],Tab_Base[[Categoria]:[Categoria]],$B19,Tab_Base[[Mês]:[Mês]],C$3,Tab_Base[[Ano]:[Ano]],$B$3,Tab_Base[[Tipo]:[Tipo]],"Saída")</f>
        <v>0</v>
      </c>
      <c r="D19" s="7">
        <f>SUMIFS(Tab_Base[[Valor]:[Valor]],Tab_Base[[Categoria]:[Categoria]],$B19,Tab_Base[[Mês]:[Mês]],D$3,Tab_Base[[Ano]:[Ano]],$B$3,Tab_Base[[Tipo]:[Tipo]],"Saída")</f>
        <v>0</v>
      </c>
      <c r="E19" s="7">
        <f>SUMIFS(Tab_Base[[Valor]:[Valor]],Tab_Base[[Categoria]:[Categoria]],$B19,Tab_Base[[Mês]:[Mês]],E$3,Tab_Base[[Ano]:[Ano]],$B$3,Tab_Base[[Tipo]:[Tipo]],"Saída")</f>
        <v>0</v>
      </c>
      <c r="F19" s="7">
        <f>SUMIFS(Tab_Base[[Valor]:[Valor]],Tab_Base[[Categoria]:[Categoria]],$B19,Tab_Base[[Mês]:[Mês]],F$3,Tab_Base[[Ano]:[Ano]],$B$3,Tab_Base[[Tipo]:[Tipo]],"Saída")</f>
        <v>0</v>
      </c>
      <c r="G19" s="7">
        <f>SUMIFS(Tab_Base[[Valor]:[Valor]],Tab_Base[[Categoria]:[Categoria]],$B19,Tab_Base[[Mês]:[Mês]],G$3,Tab_Base[[Ano]:[Ano]],$B$3,Tab_Base[[Tipo]:[Tipo]],"Saída")</f>
        <v>0</v>
      </c>
      <c r="H19" s="7">
        <f>SUMIFS(Tab_Base[[Valor]:[Valor]],Tab_Base[[Categoria]:[Categoria]],$B19,Tab_Base[[Mês]:[Mês]],H$3,Tab_Base[[Ano]:[Ano]],$B$3,Tab_Base[[Tipo]:[Tipo]],"Saída")</f>
        <v>0</v>
      </c>
      <c r="I19" s="7">
        <f>SUMIFS(Tab_Base[[Valor]:[Valor]],Tab_Base[[Categoria]:[Categoria]],$B19,Tab_Base[[Mês]:[Mês]],I$3,Tab_Base[[Ano]:[Ano]],$B$3,Tab_Base[[Tipo]:[Tipo]],"Saída")</f>
        <v>0</v>
      </c>
      <c r="J19" s="7">
        <f>SUMIFS(Tab_Base[[Valor]:[Valor]],Tab_Base[[Categoria]:[Categoria]],$B19,Tab_Base[[Mês]:[Mês]],J$3,Tab_Base[[Ano]:[Ano]],$B$3,Tab_Base[[Tipo]:[Tipo]],"Saída")</f>
        <v>0</v>
      </c>
      <c r="K19" s="7">
        <f>SUMIFS(Tab_Base[[Valor]:[Valor]],Tab_Base[[Categoria]:[Categoria]],$B19,Tab_Base[[Mês]:[Mês]],K$3,Tab_Base[[Ano]:[Ano]],$B$3,Tab_Base[[Tipo]:[Tipo]],"Saída")</f>
        <v>0</v>
      </c>
      <c r="L19" s="7">
        <f>SUMIFS(Tab_Base[[Valor]:[Valor]],Tab_Base[[Categoria]:[Categoria]],$B19,Tab_Base[[Mês]:[Mês]],L$3,Tab_Base[[Ano]:[Ano]],$B$3,Tab_Base[[Tipo]:[Tipo]],"Saída")</f>
        <v>0</v>
      </c>
      <c r="M19" s="7">
        <f>SUMIFS(Tab_Base[[Valor]:[Valor]],Tab_Base[[Categoria]:[Categoria]],$B19,Tab_Base[[Mês]:[Mês]],M$3,Tab_Base[[Ano]:[Ano]],$B$3,Tab_Base[[Tipo]:[Tipo]],"Saída")</f>
        <v>0</v>
      </c>
      <c r="N19" s="7">
        <f>SUMIFS(Tab_Base[[Valor]:[Valor]],Tab_Base[[Categoria]:[Categoria]],$B19,Tab_Base[[Mês]:[Mês]],N$3,Tab_Base[[Ano]:[Ano]],$B$3,Tab_Base[[Tipo]:[Tipo]],"Saída")</f>
        <v>0</v>
      </c>
      <c r="O19" s="7">
        <f>SUM(tb_saidas[[#This Row],[Janeiro]:[Dezembro]])</f>
        <v>0</v>
      </c>
      <c r="P19" s="7">
        <f>SUMIFS(Tab_Base[Valor],Tab_Base[Categoria],tb_saidas[[#This Row],[Saídas]],Tab_Base[Data],"&gt;="&amp;$P$2,Tab_Base[Data],"&lt;="&amp;$P$3,Tab_Base[Tipo],"Saída")</f>
        <v>0</v>
      </c>
    </row>
    <row r="20" spans="2:16" ht="17.25" thickBot="1" x14ac:dyDescent="0.35">
      <c r="B20" s="97"/>
      <c r="C20" s="7">
        <f>SUMIFS(Tab_Base[[Valor]:[Valor]],Tab_Base[[Categoria]:[Categoria]],$B20,Tab_Base[[Mês]:[Mês]],C$3,Tab_Base[[Ano]:[Ano]],$B$3,Tab_Base[[Tipo]:[Tipo]],"Saída")</f>
        <v>0</v>
      </c>
      <c r="D20" s="7">
        <f>SUMIFS(Tab_Base[[Valor]:[Valor]],Tab_Base[[Categoria]:[Categoria]],$B20,Tab_Base[[Mês]:[Mês]],D$3,Tab_Base[[Ano]:[Ano]],$B$3,Tab_Base[[Tipo]:[Tipo]],"Saída")</f>
        <v>0</v>
      </c>
      <c r="E20" s="7">
        <f>SUMIFS(Tab_Base[[Valor]:[Valor]],Tab_Base[[Categoria]:[Categoria]],$B20,Tab_Base[[Mês]:[Mês]],E$3,Tab_Base[[Ano]:[Ano]],$B$3,Tab_Base[[Tipo]:[Tipo]],"Saída")</f>
        <v>0</v>
      </c>
      <c r="F20" s="7">
        <f>SUMIFS(Tab_Base[[Valor]:[Valor]],Tab_Base[[Categoria]:[Categoria]],$B20,Tab_Base[[Mês]:[Mês]],F$3,Tab_Base[[Ano]:[Ano]],$B$3,Tab_Base[[Tipo]:[Tipo]],"Saída")</f>
        <v>0</v>
      </c>
      <c r="G20" s="7">
        <f>SUMIFS(Tab_Base[[Valor]:[Valor]],Tab_Base[[Categoria]:[Categoria]],$B20,Tab_Base[[Mês]:[Mês]],G$3,Tab_Base[[Ano]:[Ano]],$B$3,Tab_Base[[Tipo]:[Tipo]],"Saída")</f>
        <v>0</v>
      </c>
      <c r="H20" s="7">
        <f>SUMIFS(Tab_Base[[Valor]:[Valor]],Tab_Base[[Categoria]:[Categoria]],$B20,Tab_Base[[Mês]:[Mês]],H$3,Tab_Base[[Ano]:[Ano]],$B$3,Tab_Base[[Tipo]:[Tipo]],"Saída")</f>
        <v>0</v>
      </c>
      <c r="I20" s="7">
        <f>SUMIFS(Tab_Base[[Valor]:[Valor]],Tab_Base[[Categoria]:[Categoria]],$B20,Tab_Base[[Mês]:[Mês]],I$3,Tab_Base[[Ano]:[Ano]],$B$3,Tab_Base[[Tipo]:[Tipo]],"Saída")</f>
        <v>0</v>
      </c>
      <c r="J20" s="7">
        <f>SUMIFS(Tab_Base[[Valor]:[Valor]],Tab_Base[[Categoria]:[Categoria]],$B20,Tab_Base[[Mês]:[Mês]],J$3,Tab_Base[[Ano]:[Ano]],$B$3,Tab_Base[[Tipo]:[Tipo]],"Saída")</f>
        <v>0</v>
      </c>
      <c r="K20" s="7">
        <f>SUMIFS(Tab_Base[[Valor]:[Valor]],Tab_Base[[Categoria]:[Categoria]],$B20,Tab_Base[[Mês]:[Mês]],K$3,Tab_Base[[Ano]:[Ano]],$B$3,Tab_Base[[Tipo]:[Tipo]],"Saída")</f>
        <v>0</v>
      </c>
      <c r="L20" s="7">
        <f>SUMIFS(Tab_Base[[Valor]:[Valor]],Tab_Base[[Categoria]:[Categoria]],$B20,Tab_Base[[Mês]:[Mês]],L$3,Tab_Base[[Ano]:[Ano]],$B$3,Tab_Base[[Tipo]:[Tipo]],"Saída")</f>
        <v>0</v>
      </c>
      <c r="M20" s="7">
        <f>SUMIFS(Tab_Base[[Valor]:[Valor]],Tab_Base[[Categoria]:[Categoria]],$B20,Tab_Base[[Mês]:[Mês]],M$3,Tab_Base[[Ano]:[Ano]],$B$3,Tab_Base[[Tipo]:[Tipo]],"Saída")</f>
        <v>0</v>
      </c>
      <c r="N20" s="7">
        <f>SUMIFS(Tab_Base[[Valor]:[Valor]],Tab_Base[[Categoria]:[Categoria]],$B20,Tab_Base[[Mês]:[Mês]],N$3,Tab_Base[[Ano]:[Ano]],$B$3,Tab_Base[[Tipo]:[Tipo]],"Saída")</f>
        <v>0</v>
      </c>
      <c r="O20" s="7">
        <f>SUM(tb_saidas[[#This Row],[Janeiro]:[Dezembro]])</f>
        <v>0</v>
      </c>
      <c r="P20" s="7">
        <f>SUMIFS(Tab_Base[Valor],Tab_Base[Categoria],tb_saidas[[#This Row],[Saídas]],Tab_Base[Data],"&gt;="&amp;$P$2,Tab_Base[Data],"&lt;="&amp;$P$3,Tab_Base[Tipo],"Saída")</f>
        <v>0</v>
      </c>
    </row>
    <row r="21" spans="2:16" ht="17.25" thickBot="1" x14ac:dyDescent="0.35">
      <c r="B21" s="97"/>
      <c r="C21" s="7">
        <f>SUMIFS(Tab_Base[[Valor]:[Valor]],Tab_Base[[Categoria]:[Categoria]],$B21,Tab_Base[[Mês]:[Mês]],C$3,Tab_Base[[Ano]:[Ano]],$B$3,Tab_Base[[Tipo]:[Tipo]],"Saída")</f>
        <v>0</v>
      </c>
      <c r="D21" s="7">
        <f>SUMIFS(Tab_Base[[Valor]:[Valor]],Tab_Base[[Categoria]:[Categoria]],$B21,Tab_Base[[Mês]:[Mês]],D$3,Tab_Base[[Ano]:[Ano]],$B$3,Tab_Base[[Tipo]:[Tipo]],"Saída")</f>
        <v>0</v>
      </c>
      <c r="E21" s="7">
        <f>SUMIFS(Tab_Base[[Valor]:[Valor]],Tab_Base[[Categoria]:[Categoria]],$B21,Tab_Base[[Mês]:[Mês]],E$3,Tab_Base[[Ano]:[Ano]],$B$3,Tab_Base[[Tipo]:[Tipo]],"Saída")</f>
        <v>0</v>
      </c>
      <c r="F21" s="7">
        <f>SUMIFS(Tab_Base[[Valor]:[Valor]],Tab_Base[[Categoria]:[Categoria]],$B21,Tab_Base[[Mês]:[Mês]],F$3,Tab_Base[[Ano]:[Ano]],$B$3,Tab_Base[[Tipo]:[Tipo]],"Saída")</f>
        <v>0</v>
      </c>
      <c r="G21" s="7">
        <f>SUMIFS(Tab_Base[[Valor]:[Valor]],Tab_Base[[Categoria]:[Categoria]],$B21,Tab_Base[[Mês]:[Mês]],G$3,Tab_Base[[Ano]:[Ano]],$B$3,Tab_Base[[Tipo]:[Tipo]],"Saída")</f>
        <v>0</v>
      </c>
      <c r="H21" s="7">
        <f>SUMIFS(Tab_Base[[Valor]:[Valor]],Tab_Base[[Categoria]:[Categoria]],$B21,Tab_Base[[Mês]:[Mês]],H$3,Tab_Base[[Ano]:[Ano]],$B$3,Tab_Base[[Tipo]:[Tipo]],"Saída")</f>
        <v>0</v>
      </c>
      <c r="I21" s="7">
        <f>SUMIFS(Tab_Base[[Valor]:[Valor]],Tab_Base[[Categoria]:[Categoria]],$B21,Tab_Base[[Mês]:[Mês]],I$3,Tab_Base[[Ano]:[Ano]],$B$3,Tab_Base[[Tipo]:[Tipo]],"Saída")</f>
        <v>0</v>
      </c>
      <c r="J21" s="7">
        <f>SUMIFS(Tab_Base[[Valor]:[Valor]],Tab_Base[[Categoria]:[Categoria]],$B21,Tab_Base[[Mês]:[Mês]],J$3,Tab_Base[[Ano]:[Ano]],$B$3,Tab_Base[[Tipo]:[Tipo]],"Saída")</f>
        <v>0</v>
      </c>
      <c r="K21" s="7">
        <f>SUMIFS(Tab_Base[[Valor]:[Valor]],Tab_Base[[Categoria]:[Categoria]],$B21,Tab_Base[[Mês]:[Mês]],K$3,Tab_Base[[Ano]:[Ano]],$B$3,Tab_Base[[Tipo]:[Tipo]],"Saída")</f>
        <v>0</v>
      </c>
      <c r="L21" s="7">
        <f>SUMIFS(Tab_Base[[Valor]:[Valor]],Tab_Base[[Categoria]:[Categoria]],$B21,Tab_Base[[Mês]:[Mês]],L$3,Tab_Base[[Ano]:[Ano]],$B$3,Tab_Base[[Tipo]:[Tipo]],"Saída")</f>
        <v>0</v>
      </c>
      <c r="M21" s="7">
        <f>SUMIFS(Tab_Base[[Valor]:[Valor]],Tab_Base[[Categoria]:[Categoria]],$B21,Tab_Base[[Mês]:[Mês]],M$3,Tab_Base[[Ano]:[Ano]],$B$3,Tab_Base[[Tipo]:[Tipo]],"Saída")</f>
        <v>0</v>
      </c>
      <c r="N21" s="7">
        <f>SUMIFS(Tab_Base[[Valor]:[Valor]],Tab_Base[[Categoria]:[Categoria]],$B21,Tab_Base[[Mês]:[Mês]],N$3,Tab_Base[[Ano]:[Ano]],$B$3,Tab_Base[[Tipo]:[Tipo]],"Saída")</f>
        <v>0</v>
      </c>
      <c r="O21" s="7">
        <f>SUM(tb_saidas[[#This Row],[Janeiro]:[Dezembro]])</f>
        <v>0</v>
      </c>
      <c r="P21" s="7">
        <f>SUMIFS(Tab_Base[Valor],Tab_Base[Categoria],tb_saidas[[#This Row],[Saídas]],Tab_Base[Data],"&gt;="&amp;$P$2,Tab_Base[Data],"&lt;="&amp;$P$3,Tab_Base[Tipo],"Saída")</f>
        <v>0</v>
      </c>
    </row>
    <row r="22" spans="2:16" ht="17.25" thickBot="1" x14ac:dyDescent="0.35">
      <c r="B22" s="97"/>
      <c r="C22" s="7">
        <f>SUMIFS(Tab_Base[[Valor]:[Valor]],Tab_Base[[Categoria]:[Categoria]],$B22,Tab_Base[[Mês]:[Mês]],C$3,Tab_Base[[Ano]:[Ano]],$B$3,Tab_Base[[Tipo]:[Tipo]],"Saída")</f>
        <v>0</v>
      </c>
      <c r="D22" s="7">
        <f>SUMIFS(Tab_Base[[Valor]:[Valor]],Tab_Base[[Categoria]:[Categoria]],$B22,Tab_Base[[Mês]:[Mês]],D$3,Tab_Base[[Ano]:[Ano]],$B$3,Tab_Base[[Tipo]:[Tipo]],"Saída")</f>
        <v>0</v>
      </c>
      <c r="E22" s="7">
        <f>SUMIFS(Tab_Base[[Valor]:[Valor]],Tab_Base[[Categoria]:[Categoria]],$B22,Tab_Base[[Mês]:[Mês]],E$3,Tab_Base[[Ano]:[Ano]],$B$3,Tab_Base[[Tipo]:[Tipo]],"Saída")</f>
        <v>0</v>
      </c>
      <c r="F22" s="7">
        <f>SUMIFS(Tab_Base[[Valor]:[Valor]],Tab_Base[[Categoria]:[Categoria]],$B22,Tab_Base[[Mês]:[Mês]],F$3,Tab_Base[[Ano]:[Ano]],$B$3,Tab_Base[[Tipo]:[Tipo]],"Saída")</f>
        <v>0</v>
      </c>
      <c r="G22" s="7">
        <f>SUMIFS(Tab_Base[[Valor]:[Valor]],Tab_Base[[Categoria]:[Categoria]],$B22,Tab_Base[[Mês]:[Mês]],G$3,Tab_Base[[Ano]:[Ano]],$B$3,Tab_Base[[Tipo]:[Tipo]],"Saída")</f>
        <v>0</v>
      </c>
      <c r="H22" s="7">
        <f>SUMIFS(Tab_Base[[Valor]:[Valor]],Tab_Base[[Categoria]:[Categoria]],$B22,Tab_Base[[Mês]:[Mês]],H$3,Tab_Base[[Ano]:[Ano]],$B$3,Tab_Base[[Tipo]:[Tipo]],"Saída")</f>
        <v>0</v>
      </c>
      <c r="I22" s="7">
        <f>SUMIFS(Tab_Base[[Valor]:[Valor]],Tab_Base[[Categoria]:[Categoria]],$B22,Tab_Base[[Mês]:[Mês]],I$3,Tab_Base[[Ano]:[Ano]],$B$3,Tab_Base[[Tipo]:[Tipo]],"Saída")</f>
        <v>0</v>
      </c>
      <c r="J22" s="7">
        <f>SUMIFS(Tab_Base[[Valor]:[Valor]],Tab_Base[[Categoria]:[Categoria]],$B22,Tab_Base[[Mês]:[Mês]],J$3,Tab_Base[[Ano]:[Ano]],$B$3,Tab_Base[[Tipo]:[Tipo]],"Saída")</f>
        <v>0</v>
      </c>
      <c r="K22" s="7">
        <f>SUMIFS(Tab_Base[[Valor]:[Valor]],Tab_Base[[Categoria]:[Categoria]],$B22,Tab_Base[[Mês]:[Mês]],K$3,Tab_Base[[Ano]:[Ano]],$B$3,Tab_Base[[Tipo]:[Tipo]],"Saída")</f>
        <v>0</v>
      </c>
      <c r="L22" s="7">
        <f>SUMIFS(Tab_Base[[Valor]:[Valor]],Tab_Base[[Categoria]:[Categoria]],$B22,Tab_Base[[Mês]:[Mês]],L$3,Tab_Base[[Ano]:[Ano]],$B$3,Tab_Base[[Tipo]:[Tipo]],"Saída")</f>
        <v>0</v>
      </c>
      <c r="M22" s="7">
        <f>SUMIFS(Tab_Base[[Valor]:[Valor]],Tab_Base[[Categoria]:[Categoria]],$B22,Tab_Base[[Mês]:[Mês]],M$3,Tab_Base[[Ano]:[Ano]],$B$3,Tab_Base[[Tipo]:[Tipo]],"Saída")</f>
        <v>0</v>
      </c>
      <c r="N22" s="7">
        <f>SUMIFS(Tab_Base[[Valor]:[Valor]],Tab_Base[[Categoria]:[Categoria]],$B22,Tab_Base[[Mês]:[Mês]],N$3,Tab_Base[[Ano]:[Ano]],$B$3,Tab_Base[[Tipo]:[Tipo]],"Saída")</f>
        <v>0</v>
      </c>
      <c r="O22" s="7">
        <f>SUM(tb_saidas[[#This Row],[Janeiro]:[Dezembro]])</f>
        <v>0</v>
      </c>
      <c r="P22" s="7">
        <f>SUMIFS(Tab_Base[Valor],Tab_Base[Categoria],tb_saidas[[#This Row],[Saídas]],Tab_Base[Data],"&gt;="&amp;$P$2,Tab_Base[Data],"&lt;="&amp;$P$3,Tab_Base[Tipo],"Saída")</f>
        <v>0</v>
      </c>
    </row>
    <row r="23" spans="2:16" ht="17.25" thickBot="1" x14ac:dyDescent="0.35">
      <c r="B23" s="97"/>
      <c r="C23" s="7">
        <f>SUMIFS(Tab_Base[[Valor]:[Valor]],Tab_Base[[Categoria]:[Categoria]],$B23,Tab_Base[[Mês]:[Mês]],C$3,Tab_Base[[Ano]:[Ano]],$B$3,Tab_Base[[Tipo]:[Tipo]],"Saída")</f>
        <v>0</v>
      </c>
      <c r="D23" s="7">
        <f>SUMIFS(Tab_Base[[Valor]:[Valor]],Tab_Base[[Categoria]:[Categoria]],$B23,Tab_Base[[Mês]:[Mês]],D$3,Tab_Base[[Ano]:[Ano]],$B$3,Tab_Base[[Tipo]:[Tipo]],"Saída")</f>
        <v>0</v>
      </c>
      <c r="E23" s="7">
        <f>SUMIFS(Tab_Base[[Valor]:[Valor]],Tab_Base[[Categoria]:[Categoria]],$B23,Tab_Base[[Mês]:[Mês]],E$3,Tab_Base[[Ano]:[Ano]],$B$3,Tab_Base[[Tipo]:[Tipo]],"Saída")</f>
        <v>0</v>
      </c>
      <c r="F23" s="7">
        <f>SUMIFS(Tab_Base[[Valor]:[Valor]],Tab_Base[[Categoria]:[Categoria]],$B23,Tab_Base[[Mês]:[Mês]],F$3,Tab_Base[[Ano]:[Ano]],$B$3,Tab_Base[[Tipo]:[Tipo]],"Saída")</f>
        <v>0</v>
      </c>
      <c r="G23" s="7">
        <f>SUMIFS(Tab_Base[[Valor]:[Valor]],Tab_Base[[Categoria]:[Categoria]],$B23,Tab_Base[[Mês]:[Mês]],G$3,Tab_Base[[Ano]:[Ano]],$B$3,Tab_Base[[Tipo]:[Tipo]],"Saída")</f>
        <v>0</v>
      </c>
      <c r="H23" s="7">
        <f>SUMIFS(Tab_Base[[Valor]:[Valor]],Tab_Base[[Categoria]:[Categoria]],$B23,Tab_Base[[Mês]:[Mês]],H$3,Tab_Base[[Ano]:[Ano]],$B$3,Tab_Base[[Tipo]:[Tipo]],"Saída")</f>
        <v>0</v>
      </c>
      <c r="I23" s="7">
        <f>SUMIFS(Tab_Base[[Valor]:[Valor]],Tab_Base[[Categoria]:[Categoria]],$B23,Tab_Base[[Mês]:[Mês]],I$3,Tab_Base[[Ano]:[Ano]],$B$3,Tab_Base[[Tipo]:[Tipo]],"Saída")</f>
        <v>0</v>
      </c>
      <c r="J23" s="7">
        <f>SUMIFS(Tab_Base[[Valor]:[Valor]],Tab_Base[[Categoria]:[Categoria]],$B23,Tab_Base[[Mês]:[Mês]],J$3,Tab_Base[[Ano]:[Ano]],$B$3,Tab_Base[[Tipo]:[Tipo]],"Saída")</f>
        <v>0</v>
      </c>
      <c r="K23" s="7">
        <f>SUMIFS(Tab_Base[[Valor]:[Valor]],Tab_Base[[Categoria]:[Categoria]],$B23,Tab_Base[[Mês]:[Mês]],K$3,Tab_Base[[Ano]:[Ano]],$B$3,Tab_Base[[Tipo]:[Tipo]],"Saída")</f>
        <v>0</v>
      </c>
      <c r="L23" s="7">
        <f>SUMIFS(Tab_Base[[Valor]:[Valor]],Tab_Base[[Categoria]:[Categoria]],$B23,Tab_Base[[Mês]:[Mês]],L$3,Tab_Base[[Ano]:[Ano]],$B$3,Tab_Base[[Tipo]:[Tipo]],"Saída")</f>
        <v>0</v>
      </c>
      <c r="M23" s="7">
        <f>SUMIFS(Tab_Base[[Valor]:[Valor]],Tab_Base[[Categoria]:[Categoria]],$B23,Tab_Base[[Mês]:[Mês]],M$3,Tab_Base[[Ano]:[Ano]],$B$3,Tab_Base[[Tipo]:[Tipo]],"Saída")</f>
        <v>0</v>
      </c>
      <c r="N23" s="7">
        <f>SUMIFS(Tab_Base[[Valor]:[Valor]],Tab_Base[[Categoria]:[Categoria]],$B23,Tab_Base[[Mês]:[Mês]],N$3,Tab_Base[[Ano]:[Ano]],$B$3,Tab_Base[[Tipo]:[Tipo]],"Saída")</f>
        <v>0</v>
      </c>
      <c r="O23" s="7">
        <f>SUM(tb_saidas[[#This Row],[Janeiro]:[Dezembro]])</f>
        <v>0</v>
      </c>
      <c r="P23" s="7">
        <f>SUMIFS(Tab_Base[Valor],Tab_Base[Categoria],tb_saidas[[#This Row],[Saídas]],Tab_Base[Data],"&gt;="&amp;$P$2,Tab_Base[Data],"&lt;="&amp;$P$3,Tab_Base[Tipo],"Saída")</f>
        <v>0</v>
      </c>
    </row>
    <row r="24" spans="2:16" ht="17.25" thickBot="1" x14ac:dyDescent="0.35">
      <c r="B24" s="97"/>
      <c r="C24" s="7">
        <f>SUMIFS(Tab_Base[[Valor]:[Valor]],Tab_Base[[Categoria]:[Categoria]],$B24,Tab_Base[[Mês]:[Mês]],C$3,Tab_Base[[Ano]:[Ano]],$B$3,Tab_Base[[Tipo]:[Tipo]],"Saída")</f>
        <v>0</v>
      </c>
      <c r="D24" s="7">
        <f>SUMIFS(Tab_Base[[Valor]:[Valor]],Tab_Base[[Categoria]:[Categoria]],$B24,Tab_Base[[Mês]:[Mês]],D$3,Tab_Base[[Ano]:[Ano]],$B$3,Tab_Base[[Tipo]:[Tipo]],"Saída")</f>
        <v>0</v>
      </c>
      <c r="E24" s="7">
        <f>SUMIFS(Tab_Base[[Valor]:[Valor]],Tab_Base[[Categoria]:[Categoria]],$B24,Tab_Base[[Mês]:[Mês]],E$3,Tab_Base[[Ano]:[Ano]],$B$3,Tab_Base[[Tipo]:[Tipo]],"Saída")</f>
        <v>0</v>
      </c>
      <c r="F24" s="7">
        <f>SUMIFS(Tab_Base[[Valor]:[Valor]],Tab_Base[[Categoria]:[Categoria]],$B24,Tab_Base[[Mês]:[Mês]],F$3,Tab_Base[[Ano]:[Ano]],$B$3,Tab_Base[[Tipo]:[Tipo]],"Saída")</f>
        <v>0</v>
      </c>
      <c r="G24" s="7">
        <f>SUMIFS(Tab_Base[[Valor]:[Valor]],Tab_Base[[Categoria]:[Categoria]],$B24,Tab_Base[[Mês]:[Mês]],G$3,Tab_Base[[Ano]:[Ano]],$B$3,Tab_Base[[Tipo]:[Tipo]],"Saída")</f>
        <v>0</v>
      </c>
      <c r="H24" s="7">
        <f>SUMIFS(Tab_Base[[Valor]:[Valor]],Tab_Base[[Categoria]:[Categoria]],$B24,Tab_Base[[Mês]:[Mês]],H$3,Tab_Base[[Ano]:[Ano]],$B$3,Tab_Base[[Tipo]:[Tipo]],"Saída")</f>
        <v>0</v>
      </c>
      <c r="I24" s="7">
        <f>SUMIFS(Tab_Base[[Valor]:[Valor]],Tab_Base[[Categoria]:[Categoria]],$B24,Tab_Base[[Mês]:[Mês]],I$3,Tab_Base[[Ano]:[Ano]],$B$3,Tab_Base[[Tipo]:[Tipo]],"Saída")</f>
        <v>0</v>
      </c>
      <c r="J24" s="7">
        <f>SUMIFS(Tab_Base[[Valor]:[Valor]],Tab_Base[[Categoria]:[Categoria]],$B24,Tab_Base[[Mês]:[Mês]],J$3,Tab_Base[[Ano]:[Ano]],$B$3,Tab_Base[[Tipo]:[Tipo]],"Saída")</f>
        <v>0</v>
      </c>
      <c r="K24" s="7">
        <f>SUMIFS(Tab_Base[[Valor]:[Valor]],Tab_Base[[Categoria]:[Categoria]],$B24,Tab_Base[[Mês]:[Mês]],K$3,Tab_Base[[Ano]:[Ano]],$B$3,Tab_Base[[Tipo]:[Tipo]],"Saída")</f>
        <v>0</v>
      </c>
      <c r="L24" s="7">
        <f>SUMIFS(Tab_Base[[Valor]:[Valor]],Tab_Base[[Categoria]:[Categoria]],$B24,Tab_Base[[Mês]:[Mês]],L$3,Tab_Base[[Ano]:[Ano]],$B$3,Tab_Base[[Tipo]:[Tipo]],"Saída")</f>
        <v>0</v>
      </c>
      <c r="M24" s="7">
        <f>SUMIFS(Tab_Base[[Valor]:[Valor]],Tab_Base[[Categoria]:[Categoria]],$B24,Tab_Base[[Mês]:[Mês]],M$3,Tab_Base[[Ano]:[Ano]],$B$3,Tab_Base[[Tipo]:[Tipo]],"Saída")</f>
        <v>0</v>
      </c>
      <c r="N24" s="7">
        <f>SUMIFS(Tab_Base[[Valor]:[Valor]],Tab_Base[[Categoria]:[Categoria]],$B24,Tab_Base[[Mês]:[Mês]],N$3,Tab_Base[[Ano]:[Ano]],$B$3,Tab_Base[[Tipo]:[Tipo]],"Saída")</f>
        <v>0</v>
      </c>
      <c r="O24" s="7">
        <f>SUM(tb_saidas[[#This Row],[Janeiro]:[Dezembro]])</f>
        <v>0</v>
      </c>
      <c r="P24" s="7">
        <f>SUMIFS(Tab_Base[Valor],Tab_Base[Categoria],tb_saidas[[#This Row],[Saídas]],Tab_Base[Data],"&gt;="&amp;$P$2,Tab_Base[Data],"&lt;="&amp;$P$3,Tab_Base[Tipo],"Saída")</f>
        <v>0</v>
      </c>
    </row>
    <row r="25" spans="2:16" ht="17.25" thickBot="1" x14ac:dyDescent="0.35">
      <c r="B25" s="97"/>
      <c r="C25" s="7">
        <f>SUMIFS(Tab_Base[[Valor]:[Valor]],Tab_Base[[Categoria]:[Categoria]],$B25,Tab_Base[[Mês]:[Mês]],C$3,Tab_Base[[Ano]:[Ano]],$B$3,Tab_Base[[Tipo]:[Tipo]],"Saída")</f>
        <v>0</v>
      </c>
      <c r="D25" s="7">
        <f>SUMIFS(Tab_Base[[Valor]:[Valor]],Tab_Base[[Categoria]:[Categoria]],$B25,Tab_Base[[Mês]:[Mês]],D$3,Tab_Base[[Ano]:[Ano]],$B$3,Tab_Base[[Tipo]:[Tipo]],"Saída")</f>
        <v>0</v>
      </c>
      <c r="E25" s="7">
        <f>SUMIFS(Tab_Base[[Valor]:[Valor]],Tab_Base[[Categoria]:[Categoria]],$B25,Tab_Base[[Mês]:[Mês]],E$3,Tab_Base[[Ano]:[Ano]],$B$3,Tab_Base[[Tipo]:[Tipo]],"Saída")</f>
        <v>0</v>
      </c>
      <c r="F25" s="7">
        <f>SUMIFS(Tab_Base[[Valor]:[Valor]],Tab_Base[[Categoria]:[Categoria]],$B25,Tab_Base[[Mês]:[Mês]],F$3,Tab_Base[[Ano]:[Ano]],$B$3,Tab_Base[[Tipo]:[Tipo]],"Saída")</f>
        <v>0</v>
      </c>
      <c r="G25" s="7">
        <f>SUMIFS(Tab_Base[[Valor]:[Valor]],Tab_Base[[Categoria]:[Categoria]],$B25,Tab_Base[[Mês]:[Mês]],G$3,Tab_Base[[Ano]:[Ano]],$B$3,Tab_Base[[Tipo]:[Tipo]],"Saída")</f>
        <v>0</v>
      </c>
      <c r="H25" s="7">
        <f>SUMIFS(Tab_Base[[Valor]:[Valor]],Tab_Base[[Categoria]:[Categoria]],$B25,Tab_Base[[Mês]:[Mês]],H$3,Tab_Base[[Ano]:[Ano]],$B$3,Tab_Base[[Tipo]:[Tipo]],"Saída")</f>
        <v>0</v>
      </c>
      <c r="I25" s="7">
        <f>SUMIFS(Tab_Base[[Valor]:[Valor]],Tab_Base[[Categoria]:[Categoria]],$B25,Tab_Base[[Mês]:[Mês]],I$3,Tab_Base[[Ano]:[Ano]],$B$3,Tab_Base[[Tipo]:[Tipo]],"Saída")</f>
        <v>0</v>
      </c>
      <c r="J25" s="7">
        <f>SUMIFS(Tab_Base[[Valor]:[Valor]],Tab_Base[[Categoria]:[Categoria]],$B25,Tab_Base[[Mês]:[Mês]],J$3,Tab_Base[[Ano]:[Ano]],$B$3,Tab_Base[[Tipo]:[Tipo]],"Saída")</f>
        <v>0</v>
      </c>
      <c r="K25" s="7">
        <f>SUMIFS(Tab_Base[[Valor]:[Valor]],Tab_Base[[Categoria]:[Categoria]],$B25,Tab_Base[[Mês]:[Mês]],K$3,Tab_Base[[Ano]:[Ano]],$B$3,Tab_Base[[Tipo]:[Tipo]],"Saída")</f>
        <v>0</v>
      </c>
      <c r="L25" s="7">
        <f>SUMIFS(Tab_Base[[Valor]:[Valor]],Tab_Base[[Categoria]:[Categoria]],$B25,Tab_Base[[Mês]:[Mês]],L$3,Tab_Base[[Ano]:[Ano]],$B$3,Tab_Base[[Tipo]:[Tipo]],"Saída")</f>
        <v>0</v>
      </c>
      <c r="M25" s="7">
        <f>SUMIFS(Tab_Base[[Valor]:[Valor]],Tab_Base[[Categoria]:[Categoria]],$B25,Tab_Base[[Mês]:[Mês]],M$3,Tab_Base[[Ano]:[Ano]],$B$3,Tab_Base[[Tipo]:[Tipo]],"Saída")</f>
        <v>0</v>
      </c>
      <c r="N25" s="7">
        <f>SUMIFS(Tab_Base[[Valor]:[Valor]],Tab_Base[[Categoria]:[Categoria]],$B25,Tab_Base[[Mês]:[Mês]],N$3,Tab_Base[[Ano]:[Ano]],$B$3,Tab_Base[[Tipo]:[Tipo]],"Saída")</f>
        <v>0</v>
      </c>
      <c r="O25" s="7">
        <f>SUM(tb_saidas[[#This Row],[Janeiro]:[Dezembro]])</f>
        <v>0</v>
      </c>
      <c r="P25" s="7">
        <f>SUMIFS(Tab_Base[Valor],Tab_Base[Categoria],tb_saidas[[#This Row],[Saídas]],Tab_Base[Data],"&gt;="&amp;$P$2,Tab_Base[Data],"&lt;="&amp;$P$3,Tab_Base[Tipo],"Saída")</f>
        <v>0</v>
      </c>
    </row>
    <row r="26" spans="2:16" ht="17.25" thickBot="1" x14ac:dyDescent="0.35">
      <c r="B26" s="97"/>
      <c r="C26" s="7">
        <f>SUMIFS(Tab_Base[[Valor]:[Valor]],Tab_Base[[Categoria]:[Categoria]],$B26,Tab_Base[[Mês]:[Mês]],C$3,Tab_Base[[Ano]:[Ano]],$B$3,Tab_Base[[Tipo]:[Tipo]],"Saída")</f>
        <v>0</v>
      </c>
      <c r="D26" s="7">
        <f>SUMIFS(Tab_Base[[Valor]:[Valor]],Tab_Base[[Categoria]:[Categoria]],$B26,Tab_Base[[Mês]:[Mês]],D$3,Tab_Base[[Ano]:[Ano]],$B$3,Tab_Base[[Tipo]:[Tipo]],"Saída")</f>
        <v>0</v>
      </c>
      <c r="E26" s="7">
        <f>SUMIFS(Tab_Base[[Valor]:[Valor]],Tab_Base[[Categoria]:[Categoria]],$B26,Tab_Base[[Mês]:[Mês]],E$3,Tab_Base[[Ano]:[Ano]],$B$3,Tab_Base[[Tipo]:[Tipo]],"Saída")</f>
        <v>0</v>
      </c>
      <c r="F26" s="7">
        <f>SUMIFS(Tab_Base[[Valor]:[Valor]],Tab_Base[[Categoria]:[Categoria]],$B26,Tab_Base[[Mês]:[Mês]],F$3,Tab_Base[[Ano]:[Ano]],$B$3,Tab_Base[[Tipo]:[Tipo]],"Saída")</f>
        <v>0</v>
      </c>
      <c r="G26" s="7">
        <f>SUMIFS(Tab_Base[[Valor]:[Valor]],Tab_Base[[Categoria]:[Categoria]],$B26,Tab_Base[[Mês]:[Mês]],G$3,Tab_Base[[Ano]:[Ano]],$B$3,Tab_Base[[Tipo]:[Tipo]],"Saída")</f>
        <v>0</v>
      </c>
      <c r="H26" s="7">
        <f>SUMIFS(Tab_Base[[Valor]:[Valor]],Tab_Base[[Categoria]:[Categoria]],$B26,Tab_Base[[Mês]:[Mês]],H$3,Tab_Base[[Ano]:[Ano]],$B$3,Tab_Base[[Tipo]:[Tipo]],"Saída")</f>
        <v>0</v>
      </c>
      <c r="I26" s="7">
        <f>SUMIFS(Tab_Base[[Valor]:[Valor]],Tab_Base[[Categoria]:[Categoria]],$B26,Tab_Base[[Mês]:[Mês]],I$3,Tab_Base[[Ano]:[Ano]],$B$3,Tab_Base[[Tipo]:[Tipo]],"Saída")</f>
        <v>0</v>
      </c>
      <c r="J26" s="7">
        <f>SUMIFS(Tab_Base[[Valor]:[Valor]],Tab_Base[[Categoria]:[Categoria]],$B26,Tab_Base[[Mês]:[Mês]],J$3,Tab_Base[[Ano]:[Ano]],$B$3,Tab_Base[[Tipo]:[Tipo]],"Saída")</f>
        <v>0</v>
      </c>
      <c r="K26" s="7">
        <f>SUMIFS(Tab_Base[[Valor]:[Valor]],Tab_Base[[Categoria]:[Categoria]],$B26,Tab_Base[[Mês]:[Mês]],K$3,Tab_Base[[Ano]:[Ano]],$B$3,Tab_Base[[Tipo]:[Tipo]],"Saída")</f>
        <v>0</v>
      </c>
      <c r="L26" s="7">
        <f>SUMIFS(Tab_Base[[Valor]:[Valor]],Tab_Base[[Categoria]:[Categoria]],$B26,Tab_Base[[Mês]:[Mês]],L$3,Tab_Base[[Ano]:[Ano]],$B$3,Tab_Base[[Tipo]:[Tipo]],"Saída")</f>
        <v>0</v>
      </c>
      <c r="M26" s="7">
        <f>SUMIFS(Tab_Base[[Valor]:[Valor]],Tab_Base[[Categoria]:[Categoria]],$B26,Tab_Base[[Mês]:[Mês]],M$3,Tab_Base[[Ano]:[Ano]],$B$3,Tab_Base[[Tipo]:[Tipo]],"Saída")</f>
        <v>0</v>
      </c>
      <c r="N26" s="7">
        <f>SUMIFS(Tab_Base[[Valor]:[Valor]],Tab_Base[[Categoria]:[Categoria]],$B26,Tab_Base[[Mês]:[Mês]],N$3,Tab_Base[[Ano]:[Ano]],$B$3,Tab_Base[[Tipo]:[Tipo]],"Saída")</f>
        <v>0</v>
      </c>
      <c r="O26" s="7">
        <f>SUM(tb_saidas[[#This Row],[Janeiro]:[Dezembro]])</f>
        <v>0</v>
      </c>
      <c r="P26" s="7">
        <f>SUMIFS(Tab_Base[Valor],Tab_Base[Categoria],tb_saidas[[#This Row],[Saídas]],Tab_Base[Data],"&gt;="&amp;$P$2,Tab_Base[Data],"&lt;="&amp;$P$3,Tab_Base[Tipo],"Saída")</f>
        <v>0</v>
      </c>
    </row>
    <row r="27" spans="2:16" ht="17.25" thickBot="1" x14ac:dyDescent="0.35">
      <c r="B27" s="97"/>
      <c r="C27" s="7">
        <f>SUMIFS(Tab_Base[[Valor]:[Valor]],Tab_Base[[Categoria]:[Categoria]],$B27,Tab_Base[[Mês]:[Mês]],C$3,Tab_Base[[Ano]:[Ano]],$B$3,Tab_Base[[Tipo]:[Tipo]],"Saída")</f>
        <v>0</v>
      </c>
      <c r="D27" s="7">
        <f>SUMIFS(Tab_Base[[Valor]:[Valor]],Tab_Base[[Categoria]:[Categoria]],$B27,Tab_Base[[Mês]:[Mês]],D$3,Tab_Base[[Ano]:[Ano]],$B$3,Tab_Base[[Tipo]:[Tipo]],"Saída")</f>
        <v>0</v>
      </c>
      <c r="E27" s="7">
        <f>SUMIFS(Tab_Base[[Valor]:[Valor]],Tab_Base[[Categoria]:[Categoria]],$B27,Tab_Base[[Mês]:[Mês]],E$3,Tab_Base[[Ano]:[Ano]],$B$3,Tab_Base[[Tipo]:[Tipo]],"Saída")</f>
        <v>0</v>
      </c>
      <c r="F27" s="7">
        <f>SUMIFS(Tab_Base[[Valor]:[Valor]],Tab_Base[[Categoria]:[Categoria]],$B27,Tab_Base[[Mês]:[Mês]],F$3,Tab_Base[[Ano]:[Ano]],$B$3,Tab_Base[[Tipo]:[Tipo]],"Saída")</f>
        <v>0</v>
      </c>
      <c r="G27" s="7">
        <f>SUMIFS(Tab_Base[[Valor]:[Valor]],Tab_Base[[Categoria]:[Categoria]],$B27,Tab_Base[[Mês]:[Mês]],G$3,Tab_Base[[Ano]:[Ano]],$B$3,Tab_Base[[Tipo]:[Tipo]],"Saída")</f>
        <v>0</v>
      </c>
      <c r="H27" s="7">
        <f>SUMIFS(Tab_Base[[Valor]:[Valor]],Tab_Base[[Categoria]:[Categoria]],$B27,Tab_Base[[Mês]:[Mês]],H$3,Tab_Base[[Ano]:[Ano]],$B$3,Tab_Base[[Tipo]:[Tipo]],"Saída")</f>
        <v>0</v>
      </c>
      <c r="I27" s="7">
        <f>SUMIFS(Tab_Base[[Valor]:[Valor]],Tab_Base[[Categoria]:[Categoria]],$B27,Tab_Base[[Mês]:[Mês]],I$3,Tab_Base[[Ano]:[Ano]],$B$3,Tab_Base[[Tipo]:[Tipo]],"Saída")</f>
        <v>0</v>
      </c>
      <c r="J27" s="7">
        <f>SUMIFS(Tab_Base[[Valor]:[Valor]],Tab_Base[[Categoria]:[Categoria]],$B27,Tab_Base[[Mês]:[Mês]],J$3,Tab_Base[[Ano]:[Ano]],$B$3,Tab_Base[[Tipo]:[Tipo]],"Saída")</f>
        <v>0</v>
      </c>
      <c r="K27" s="7">
        <f>SUMIFS(Tab_Base[[Valor]:[Valor]],Tab_Base[[Categoria]:[Categoria]],$B27,Tab_Base[[Mês]:[Mês]],K$3,Tab_Base[[Ano]:[Ano]],$B$3,Tab_Base[[Tipo]:[Tipo]],"Saída")</f>
        <v>0</v>
      </c>
      <c r="L27" s="7">
        <f>SUMIFS(Tab_Base[[Valor]:[Valor]],Tab_Base[[Categoria]:[Categoria]],$B27,Tab_Base[[Mês]:[Mês]],L$3,Tab_Base[[Ano]:[Ano]],$B$3,Tab_Base[[Tipo]:[Tipo]],"Saída")</f>
        <v>0</v>
      </c>
      <c r="M27" s="7">
        <f>SUMIFS(Tab_Base[[Valor]:[Valor]],Tab_Base[[Categoria]:[Categoria]],$B27,Tab_Base[[Mês]:[Mês]],M$3,Tab_Base[[Ano]:[Ano]],$B$3,Tab_Base[[Tipo]:[Tipo]],"Saída")</f>
        <v>0</v>
      </c>
      <c r="N27" s="7">
        <f>SUMIFS(Tab_Base[[Valor]:[Valor]],Tab_Base[[Categoria]:[Categoria]],$B27,Tab_Base[[Mês]:[Mês]],N$3,Tab_Base[[Ano]:[Ano]],$B$3,Tab_Base[[Tipo]:[Tipo]],"Saída")</f>
        <v>0</v>
      </c>
      <c r="O27" s="7">
        <f>SUM(tb_saidas[[#This Row],[Janeiro]:[Dezembro]])</f>
        <v>0</v>
      </c>
      <c r="P27" s="7">
        <f>SUMIFS(Tab_Base[Valor],Tab_Base[Categoria],tb_saidas[[#This Row],[Saídas]],Tab_Base[Data],"&gt;="&amp;$P$2,Tab_Base[Data],"&lt;="&amp;$P$3,Tab_Base[Tipo],"Saída")</f>
        <v>0</v>
      </c>
    </row>
    <row r="28" spans="2:16" ht="17.25" thickBot="1" x14ac:dyDescent="0.35">
      <c r="B28" s="97"/>
      <c r="C28" s="7">
        <f>SUMIFS(Tab_Base[[Valor]:[Valor]],Tab_Base[[Categoria]:[Categoria]],$B28,Tab_Base[[Mês]:[Mês]],C$3,Tab_Base[[Ano]:[Ano]],$B$3,Tab_Base[[Tipo]:[Tipo]],"Saída")</f>
        <v>0</v>
      </c>
      <c r="D28" s="7">
        <f>SUMIFS(Tab_Base[[Valor]:[Valor]],Tab_Base[[Categoria]:[Categoria]],$B28,Tab_Base[[Mês]:[Mês]],D$3,Tab_Base[[Ano]:[Ano]],$B$3,Tab_Base[[Tipo]:[Tipo]],"Saída")</f>
        <v>0</v>
      </c>
      <c r="E28" s="7">
        <f>SUMIFS(Tab_Base[[Valor]:[Valor]],Tab_Base[[Categoria]:[Categoria]],$B28,Tab_Base[[Mês]:[Mês]],E$3,Tab_Base[[Ano]:[Ano]],$B$3,Tab_Base[[Tipo]:[Tipo]],"Saída")</f>
        <v>0</v>
      </c>
      <c r="F28" s="7">
        <f>SUMIFS(Tab_Base[[Valor]:[Valor]],Tab_Base[[Categoria]:[Categoria]],$B28,Tab_Base[[Mês]:[Mês]],F$3,Tab_Base[[Ano]:[Ano]],$B$3,Tab_Base[[Tipo]:[Tipo]],"Saída")</f>
        <v>0</v>
      </c>
      <c r="G28" s="7">
        <f>SUMIFS(Tab_Base[[Valor]:[Valor]],Tab_Base[[Categoria]:[Categoria]],$B28,Tab_Base[[Mês]:[Mês]],G$3,Tab_Base[[Ano]:[Ano]],$B$3,Tab_Base[[Tipo]:[Tipo]],"Saída")</f>
        <v>0</v>
      </c>
      <c r="H28" s="7">
        <f>SUMIFS(Tab_Base[[Valor]:[Valor]],Tab_Base[[Categoria]:[Categoria]],$B28,Tab_Base[[Mês]:[Mês]],H$3,Tab_Base[[Ano]:[Ano]],$B$3,Tab_Base[[Tipo]:[Tipo]],"Saída")</f>
        <v>0</v>
      </c>
      <c r="I28" s="7">
        <f>SUMIFS(Tab_Base[[Valor]:[Valor]],Tab_Base[[Categoria]:[Categoria]],$B28,Tab_Base[[Mês]:[Mês]],I$3,Tab_Base[[Ano]:[Ano]],$B$3,Tab_Base[[Tipo]:[Tipo]],"Saída")</f>
        <v>0</v>
      </c>
      <c r="J28" s="7">
        <f>SUMIFS(Tab_Base[[Valor]:[Valor]],Tab_Base[[Categoria]:[Categoria]],$B28,Tab_Base[[Mês]:[Mês]],J$3,Tab_Base[[Ano]:[Ano]],$B$3,Tab_Base[[Tipo]:[Tipo]],"Saída")</f>
        <v>0</v>
      </c>
      <c r="K28" s="7">
        <f>SUMIFS(Tab_Base[[Valor]:[Valor]],Tab_Base[[Categoria]:[Categoria]],$B28,Tab_Base[[Mês]:[Mês]],K$3,Tab_Base[[Ano]:[Ano]],$B$3,Tab_Base[[Tipo]:[Tipo]],"Saída")</f>
        <v>0</v>
      </c>
      <c r="L28" s="7">
        <f>SUMIFS(Tab_Base[[Valor]:[Valor]],Tab_Base[[Categoria]:[Categoria]],$B28,Tab_Base[[Mês]:[Mês]],L$3,Tab_Base[[Ano]:[Ano]],$B$3,Tab_Base[[Tipo]:[Tipo]],"Saída")</f>
        <v>0</v>
      </c>
      <c r="M28" s="7">
        <f>SUMIFS(Tab_Base[[Valor]:[Valor]],Tab_Base[[Categoria]:[Categoria]],$B28,Tab_Base[[Mês]:[Mês]],M$3,Tab_Base[[Ano]:[Ano]],$B$3,Tab_Base[[Tipo]:[Tipo]],"Saída")</f>
        <v>0</v>
      </c>
      <c r="N28" s="7">
        <f>SUMIFS(Tab_Base[[Valor]:[Valor]],Tab_Base[[Categoria]:[Categoria]],$B28,Tab_Base[[Mês]:[Mês]],N$3,Tab_Base[[Ano]:[Ano]],$B$3,Tab_Base[[Tipo]:[Tipo]],"Saída")</f>
        <v>0</v>
      </c>
      <c r="O28" s="7">
        <f>SUM(tb_saidas[[#This Row],[Janeiro]:[Dezembro]])</f>
        <v>0</v>
      </c>
      <c r="P28" s="7">
        <f>SUMIFS(Tab_Base[Valor],Tab_Base[Categoria],tb_saidas[[#This Row],[Saídas]],Tab_Base[Data],"&gt;="&amp;$P$2,Tab_Base[Data],"&lt;="&amp;$P$3,Tab_Base[Tipo],"Saída")</f>
        <v>0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Base</vt:lpstr>
      <vt:lpstr>DashBoard</vt:lpstr>
      <vt:lpstr>Tabela Dinâmica</vt:lpstr>
      <vt:lpstr>Resultado Diário</vt:lpstr>
      <vt:lpstr>Auxiliar</vt:lpstr>
      <vt:lpstr>Base!Area_de_impressao</vt:lpstr>
      <vt:lpstr>Descricao</vt:lpstr>
      <vt:lpstr>Entrada</vt:lpstr>
      <vt:lpstr>Saída</vt:lpstr>
      <vt:lpstr>Saldo_Inicial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ricardovm</dc:creator>
  <cp:lastModifiedBy>Malone Souza</cp:lastModifiedBy>
  <dcterms:created xsi:type="dcterms:W3CDTF">2021-02-17T14:39:23Z</dcterms:created>
  <dcterms:modified xsi:type="dcterms:W3CDTF">2024-11-10T22:55:35Z</dcterms:modified>
</cp:coreProperties>
</file>